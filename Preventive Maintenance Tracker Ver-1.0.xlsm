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filterPrivacy="1" codeName="ThisWorkbook" defaultThemeVersion="124226"/>
  <xr:revisionPtr revIDLastSave="0" documentId="13_ncr:1_{BF6F0671-8E95-43FB-B250-DA848817EA21}" xr6:coauthVersionLast="47" xr6:coauthVersionMax="47" xr10:uidLastSave="{00000000-0000-0000-0000-000000000000}"/>
  <bookViews>
    <workbookView xWindow="1740" yWindow="0" windowWidth="21300" windowHeight="12360" activeTab="3" xr2:uid="{00000000-000D-0000-FFFF-FFFF00000000}"/>
  </bookViews>
  <sheets>
    <sheet name="Dashboard" sheetId="1" r:id="rId1"/>
    <sheet name="overall feeder" sheetId="24" state="hidden" r:id="rId2"/>
    <sheet name="Feeder Finger" sheetId="2" r:id="rId3"/>
    <sheet name="KT8" sheetId="3" r:id="rId4"/>
    <sheet name="KT12" sheetId="5" r:id="rId5"/>
    <sheet name="KT16" sheetId="7" r:id="rId6"/>
    <sheet name="KT24" sheetId="8" r:id="rId7"/>
    <sheet name="KT32" sheetId="9" r:id="rId8"/>
    <sheet name="KT44" sheetId="10" r:id="rId9"/>
    <sheet name="KT56" sheetId="11" r:id="rId10"/>
    <sheet name="KT88" sheetId="12" r:id="rId11"/>
    <sheet name="KTXAA" sheetId="14" r:id="rId12"/>
    <sheet name="KDE XP" sheetId="16" r:id="rId13"/>
    <sheet name="FL" sheetId="18" r:id="rId14"/>
    <sheet name="Changer" sheetId="21" r:id="rId15"/>
    <sheet name="SMT Head" sheetId="22" r:id="rId16"/>
  </sheets>
  <definedNames>
    <definedName name="_xlnm._FilterDatabase" localSheetId="2" hidden="1">'Feeder Finger'!$A$3:$H$11</definedName>
    <definedName name="_xlnm._FilterDatabase" localSheetId="4" hidden="1">'KT12'!$A$3:$H$101</definedName>
    <definedName name="_xlnm._FilterDatabase" localSheetId="5" hidden="1">'KT16'!$A$3:$H$101</definedName>
    <definedName name="_xlnm._FilterDatabase" localSheetId="3" hidden="1">'KT8'!$A$3:$H$382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7" i="24" l="1"/>
  <c r="E58" i="24"/>
  <c r="E79" i="24"/>
  <c r="E143" i="24"/>
  <c r="E164" i="24"/>
  <c r="E356" i="24"/>
  <c r="C2" i="24"/>
  <c r="E2" i="24" s="1"/>
  <c r="D423" i="24"/>
  <c r="D439" i="24"/>
  <c r="D444" i="24"/>
  <c r="D14" i="24"/>
  <c r="D30" i="24"/>
  <c r="D35" i="24"/>
  <c r="D51" i="24"/>
  <c r="D56" i="24"/>
  <c r="D78" i="24"/>
  <c r="D94" i="24"/>
  <c r="D99" i="24"/>
  <c r="D115" i="24"/>
  <c r="D120" i="24"/>
  <c r="D142" i="24"/>
  <c r="D158" i="24"/>
  <c r="D163" i="24"/>
  <c r="D179" i="24"/>
  <c r="D184" i="24"/>
  <c r="D206" i="24"/>
  <c r="D222" i="24"/>
  <c r="D231" i="24"/>
  <c r="D232" i="24"/>
  <c r="D242" i="24"/>
  <c r="D243" i="24"/>
  <c r="D254" i="24"/>
  <c r="D263" i="24"/>
  <c r="D264" i="24"/>
  <c r="D274" i="24"/>
  <c r="D275" i="24"/>
  <c r="D286" i="24"/>
  <c r="D295" i="24"/>
  <c r="D296" i="24"/>
  <c r="D306" i="24"/>
  <c r="D307" i="24"/>
  <c r="D318" i="24"/>
  <c r="D327" i="24"/>
  <c r="D328" i="24"/>
  <c r="D338" i="24"/>
  <c r="D339" i="24"/>
  <c r="D350" i="24"/>
  <c r="D359" i="24"/>
  <c r="D360" i="24"/>
  <c r="D370" i="24"/>
  <c r="D371" i="24"/>
  <c r="D378" i="24"/>
  <c r="D379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2" i="24"/>
  <c r="C3" i="24"/>
  <c r="E3" i="24" s="1"/>
  <c r="C4" i="24"/>
  <c r="C5" i="24"/>
  <c r="C6" i="24"/>
  <c r="C7" i="24"/>
  <c r="C8" i="24"/>
  <c r="E8" i="24" s="1"/>
  <c r="C9" i="24"/>
  <c r="C10" i="24"/>
  <c r="C11" i="24"/>
  <c r="C12" i="24"/>
  <c r="C13" i="24"/>
  <c r="C14" i="24"/>
  <c r="E14" i="24" s="1"/>
  <c r="C15" i="24"/>
  <c r="D15" i="24" s="1"/>
  <c r="C16" i="24"/>
  <c r="C17" i="24"/>
  <c r="C18" i="24"/>
  <c r="C19" i="24"/>
  <c r="E19" i="24" s="1"/>
  <c r="C20" i="24"/>
  <c r="C21" i="24"/>
  <c r="C22" i="24"/>
  <c r="C23" i="24"/>
  <c r="C24" i="24"/>
  <c r="E24" i="24" s="1"/>
  <c r="C25" i="24"/>
  <c r="C26" i="24"/>
  <c r="C27" i="24"/>
  <c r="C28" i="24"/>
  <c r="C29" i="24"/>
  <c r="C30" i="24"/>
  <c r="E30" i="24" s="1"/>
  <c r="C31" i="24"/>
  <c r="C32" i="24"/>
  <c r="C33" i="24"/>
  <c r="C34" i="24"/>
  <c r="C35" i="24"/>
  <c r="E35" i="24" s="1"/>
  <c r="C36" i="24"/>
  <c r="D36" i="24" s="1"/>
  <c r="C37" i="24"/>
  <c r="C38" i="24"/>
  <c r="C39" i="24"/>
  <c r="C40" i="24"/>
  <c r="E40" i="24" s="1"/>
  <c r="C41" i="24"/>
  <c r="C42" i="24"/>
  <c r="C43" i="24"/>
  <c r="C44" i="24"/>
  <c r="C45" i="24"/>
  <c r="C46" i="24"/>
  <c r="E46" i="24" s="1"/>
  <c r="C47" i="24"/>
  <c r="C48" i="24"/>
  <c r="C49" i="24"/>
  <c r="C50" i="24"/>
  <c r="C51" i="24"/>
  <c r="E51" i="24" s="1"/>
  <c r="C52" i="24"/>
  <c r="C53" i="24"/>
  <c r="C54" i="24"/>
  <c r="C55" i="24"/>
  <c r="C56" i="24"/>
  <c r="E56" i="24" s="1"/>
  <c r="C57" i="24"/>
  <c r="C58" i="24"/>
  <c r="D58" i="24" s="1"/>
  <c r="C59" i="24"/>
  <c r="C60" i="24"/>
  <c r="C61" i="24"/>
  <c r="C62" i="24"/>
  <c r="E62" i="24" s="1"/>
  <c r="C63" i="24"/>
  <c r="C64" i="24"/>
  <c r="C65" i="24"/>
  <c r="C66" i="24"/>
  <c r="C67" i="24"/>
  <c r="E67" i="24" s="1"/>
  <c r="C68" i="24"/>
  <c r="C69" i="24"/>
  <c r="C70" i="24"/>
  <c r="C71" i="24"/>
  <c r="C72" i="24"/>
  <c r="E72" i="24" s="1"/>
  <c r="C73" i="24"/>
  <c r="C74" i="24"/>
  <c r="C75" i="24"/>
  <c r="C76" i="24"/>
  <c r="C77" i="24"/>
  <c r="C78" i="24"/>
  <c r="E78" i="24" s="1"/>
  <c r="C79" i="24"/>
  <c r="D79" i="24" s="1"/>
  <c r="C80" i="24"/>
  <c r="C81" i="24"/>
  <c r="C82" i="24"/>
  <c r="C83" i="24"/>
  <c r="E83" i="24" s="1"/>
  <c r="C84" i="24"/>
  <c r="C85" i="24"/>
  <c r="C86" i="24"/>
  <c r="C87" i="24"/>
  <c r="C88" i="24"/>
  <c r="E88" i="24" s="1"/>
  <c r="C89" i="24"/>
  <c r="C90" i="24"/>
  <c r="C91" i="24"/>
  <c r="C92" i="24"/>
  <c r="C93" i="24"/>
  <c r="C94" i="24"/>
  <c r="E94" i="24" s="1"/>
  <c r="C95" i="24"/>
  <c r="C96" i="24"/>
  <c r="C97" i="24"/>
  <c r="C98" i="24"/>
  <c r="C99" i="24"/>
  <c r="E99" i="24" s="1"/>
  <c r="C100" i="24"/>
  <c r="D100" i="24" s="1"/>
  <c r="C101" i="24"/>
  <c r="C102" i="24"/>
  <c r="C103" i="24"/>
  <c r="C104" i="24"/>
  <c r="E104" i="24" s="1"/>
  <c r="C105" i="24"/>
  <c r="C106" i="24"/>
  <c r="C107" i="24"/>
  <c r="C108" i="24"/>
  <c r="C109" i="24"/>
  <c r="C110" i="24"/>
  <c r="E110" i="24" s="1"/>
  <c r="C111" i="24"/>
  <c r="C112" i="24"/>
  <c r="C113" i="24"/>
  <c r="C114" i="24"/>
  <c r="C115" i="24"/>
  <c r="E115" i="24" s="1"/>
  <c r="C116" i="24"/>
  <c r="C117" i="24"/>
  <c r="C118" i="24"/>
  <c r="C119" i="24"/>
  <c r="C120" i="24"/>
  <c r="E120" i="24" s="1"/>
  <c r="C121" i="24"/>
  <c r="C122" i="24"/>
  <c r="D122" i="24" s="1"/>
  <c r="C123" i="24"/>
  <c r="C124" i="24"/>
  <c r="C125" i="24"/>
  <c r="C126" i="24"/>
  <c r="E126" i="24" s="1"/>
  <c r="C127" i="24"/>
  <c r="C128" i="24"/>
  <c r="C129" i="24"/>
  <c r="C130" i="24"/>
  <c r="C131" i="24"/>
  <c r="E131" i="24" s="1"/>
  <c r="C132" i="24"/>
  <c r="C133" i="24"/>
  <c r="C134" i="24"/>
  <c r="C135" i="24"/>
  <c r="C136" i="24"/>
  <c r="E136" i="24" s="1"/>
  <c r="C137" i="24"/>
  <c r="C138" i="24"/>
  <c r="C139" i="24"/>
  <c r="C140" i="24"/>
  <c r="C141" i="24"/>
  <c r="C142" i="24"/>
  <c r="E142" i="24" s="1"/>
  <c r="C143" i="24"/>
  <c r="D143" i="24" s="1"/>
  <c r="C144" i="24"/>
  <c r="C145" i="24"/>
  <c r="C146" i="24"/>
  <c r="C147" i="24"/>
  <c r="E147" i="24" s="1"/>
  <c r="C148" i="24"/>
  <c r="C149" i="24"/>
  <c r="C150" i="24"/>
  <c r="C151" i="24"/>
  <c r="C152" i="24"/>
  <c r="E152" i="24" s="1"/>
  <c r="C153" i="24"/>
  <c r="C154" i="24"/>
  <c r="C155" i="24"/>
  <c r="C156" i="24"/>
  <c r="C157" i="24"/>
  <c r="C158" i="24"/>
  <c r="E158" i="24" s="1"/>
  <c r="C159" i="24"/>
  <c r="C160" i="24"/>
  <c r="C161" i="24"/>
  <c r="C162" i="24"/>
  <c r="C163" i="24"/>
  <c r="E163" i="24" s="1"/>
  <c r="C164" i="24"/>
  <c r="D164" i="24" s="1"/>
  <c r="C165" i="24"/>
  <c r="C166" i="24"/>
  <c r="C167" i="24"/>
  <c r="C168" i="24"/>
  <c r="E168" i="24" s="1"/>
  <c r="C169" i="24"/>
  <c r="C170" i="24"/>
  <c r="C171" i="24"/>
  <c r="C172" i="24"/>
  <c r="C173" i="24"/>
  <c r="C174" i="24"/>
  <c r="E174" i="24" s="1"/>
  <c r="C175" i="24"/>
  <c r="C176" i="24"/>
  <c r="C177" i="24"/>
  <c r="C178" i="24"/>
  <c r="C179" i="24"/>
  <c r="E179" i="24" s="1"/>
  <c r="C180" i="24"/>
  <c r="C181" i="24"/>
  <c r="C182" i="24"/>
  <c r="C183" i="24"/>
  <c r="C184" i="24"/>
  <c r="E184" i="24" s="1"/>
  <c r="C185" i="24"/>
  <c r="C186" i="24"/>
  <c r="D186" i="24" s="1"/>
  <c r="C187" i="24"/>
  <c r="C188" i="24"/>
  <c r="C189" i="24"/>
  <c r="C190" i="24"/>
  <c r="E190" i="24" s="1"/>
  <c r="C191" i="24"/>
  <c r="C192" i="24"/>
  <c r="C193" i="24"/>
  <c r="C194" i="24"/>
  <c r="C195" i="24"/>
  <c r="E195" i="24" s="1"/>
  <c r="C196" i="24"/>
  <c r="C197" i="24"/>
  <c r="C198" i="24"/>
  <c r="C199" i="24"/>
  <c r="C200" i="24"/>
  <c r="E200" i="24" s="1"/>
  <c r="C201" i="24"/>
  <c r="C202" i="24"/>
  <c r="C203" i="24"/>
  <c r="C204" i="24"/>
  <c r="C205" i="24"/>
  <c r="C206" i="24"/>
  <c r="E206" i="24" s="1"/>
  <c r="C207" i="24"/>
  <c r="D207" i="24" s="1"/>
  <c r="C208" i="24"/>
  <c r="C209" i="24"/>
  <c r="C210" i="24"/>
  <c r="C211" i="24"/>
  <c r="E211" i="24" s="1"/>
  <c r="C212" i="24"/>
  <c r="C213" i="24"/>
  <c r="C214" i="24"/>
  <c r="C215" i="24"/>
  <c r="C216" i="24"/>
  <c r="E216" i="24" s="1"/>
  <c r="C217" i="24"/>
  <c r="C218" i="24"/>
  <c r="C219" i="24"/>
  <c r="C220" i="24"/>
  <c r="E220" i="24" s="1"/>
  <c r="C221" i="24"/>
  <c r="C222" i="24"/>
  <c r="E222" i="24" s="1"/>
  <c r="C223" i="24"/>
  <c r="C224" i="24"/>
  <c r="C225" i="24"/>
  <c r="C226" i="24"/>
  <c r="E226" i="24" s="1"/>
  <c r="C227" i="24"/>
  <c r="E227" i="24" s="1"/>
  <c r="C228" i="24"/>
  <c r="D228" i="24" s="1"/>
  <c r="C229" i="24"/>
  <c r="C230" i="24"/>
  <c r="C231" i="24"/>
  <c r="E231" i="24" s="1"/>
  <c r="C232" i="24"/>
  <c r="E232" i="24" s="1"/>
  <c r="C233" i="24"/>
  <c r="C234" i="24"/>
  <c r="C235" i="24"/>
  <c r="C236" i="24"/>
  <c r="E236" i="24" s="1"/>
  <c r="C237" i="24"/>
  <c r="C238" i="24"/>
  <c r="E238" i="24" s="1"/>
  <c r="C239" i="24"/>
  <c r="C240" i="24"/>
  <c r="C241" i="24"/>
  <c r="C242" i="24"/>
  <c r="E242" i="24" s="1"/>
  <c r="C243" i="24"/>
  <c r="E243" i="24" s="1"/>
  <c r="C244" i="24"/>
  <c r="C245" i="24"/>
  <c r="C246" i="24"/>
  <c r="C247" i="24"/>
  <c r="E247" i="24" s="1"/>
  <c r="C248" i="24"/>
  <c r="E248" i="24" s="1"/>
  <c r="C249" i="24"/>
  <c r="D249" i="24" s="1"/>
  <c r="C250" i="24"/>
  <c r="C251" i="24"/>
  <c r="C252" i="24"/>
  <c r="E252" i="24" s="1"/>
  <c r="C253" i="24"/>
  <c r="C254" i="24"/>
  <c r="E254" i="24" s="1"/>
  <c r="C255" i="24"/>
  <c r="C256" i="24"/>
  <c r="C257" i="24"/>
  <c r="C258" i="24"/>
  <c r="E258" i="24" s="1"/>
  <c r="C259" i="24"/>
  <c r="E259" i="24" s="1"/>
  <c r="C260" i="24"/>
  <c r="C261" i="24"/>
  <c r="C262" i="24"/>
  <c r="C263" i="24"/>
  <c r="E263" i="24" s="1"/>
  <c r="C264" i="24"/>
  <c r="E264" i="24" s="1"/>
  <c r="C265" i="24"/>
  <c r="D265" i="24" s="1"/>
  <c r="C266" i="24"/>
  <c r="C267" i="24"/>
  <c r="C268" i="24"/>
  <c r="E268" i="24" s="1"/>
  <c r="C269" i="24"/>
  <c r="C270" i="24"/>
  <c r="E270" i="24" s="1"/>
  <c r="C271" i="24"/>
  <c r="C272" i="24"/>
  <c r="C273" i="24"/>
  <c r="C274" i="24"/>
  <c r="E274" i="24" s="1"/>
  <c r="C275" i="24"/>
  <c r="E275" i="24" s="1"/>
  <c r="C276" i="24"/>
  <c r="C277" i="24"/>
  <c r="C278" i="24"/>
  <c r="C279" i="24"/>
  <c r="E279" i="24" s="1"/>
  <c r="C280" i="24"/>
  <c r="E280" i="24" s="1"/>
  <c r="C281" i="24"/>
  <c r="D281" i="24" s="1"/>
  <c r="C282" i="24"/>
  <c r="C283" i="24"/>
  <c r="C284" i="24"/>
  <c r="E284" i="24" s="1"/>
  <c r="C285" i="24"/>
  <c r="C286" i="24"/>
  <c r="E286" i="24" s="1"/>
  <c r="C287" i="24"/>
  <c r="C288" i="24"/>
  <c r="C289" i="24"/>
  <c r="C290" i="24"/>
  <c r="E290" i="24" s="1"/>
  <c r="C291" i="24"/>
  <c r="E291" i="24" s="1"/>
  <c r="C292" i="24"/>
  <c r="C293" i="24"/>
  <c r="C294" i="24"/>
  <c r="C295" i="24"/>
  <c r="E295" i="24" s="1"/>
  <c r="C296" i="24"/>
  <c r="E296" i="24" s="1"/>
  <c r="C297" i="24"/>
  <c r="D297" i="24" s="1"/>
  <c r="C298" i="24"/>
  <c r="C299" i="24"/>
  <c r="C300" i="24"/>
  <c r="E300" i="24" s="1"/>
  <c r="C301" i="24"/>
  <c r="C302" i="24"/>
  <c r="E302" i="24" s="1"/>
  <c r="C303" i="24"/>
  <c r="C304" i="24"/>
  <c r="C305" i="24"/>
  <c r="C306" i="24"/>
  <c r="E306" i="24" s="1"/>
  <c r="C307" i="24"/>
  <c r="E307" i="24" s="1"/>
  <c r="C308" i="24"/>
  <c r="C309" i="24"/>
  <c r="C310" i="24"/>
  <c r="C311" i="24"/>
  <c r="E311" i="24" s="1"/>
  <c r="C312" i="24"/>
  <c r="E312" i="24" s="1"/>
  <c r="C313" i="24"/>
  <c r="D313" i="24" s="1"/>
  <c r="C314" i="24"/>
  <c r="C315" i="24"/>
  <c r="C316" i="24"/>
  <c r="E316" i="24" s="1"/>
  <c r="C317" i="24"/>
  <c r="C318" i="24"/>
  <c r="E318" i="24" s="1"/>
  <c r="C319" i="24"/>
  <c r="C320" i="24"/>
  <c r="C321" i="24"/>
  <c r="C322" i="24"/>
  <c r="E322" i="24" s="1"/>
  <c r="C323" i="24"/>
  <c r="E323" i="24" s="1"/>
  <c r="C324" i="24"/>
  <c r="C325" i="24"/>
  <c r="C326" i="24"/>
  <c r="C327" i="24"/>
  <c r="E327" i="24" s="1"/>
  <c r="C328" i="24"/>
  <c r="E328" i="24" s="1"/>
  <c r="C329" i="24"/>
  <c r="D329" i="24" s="1"/>
  <c r="C330" i="24"/>
  <c r="C331" i="24"/>
  <c r="C332" i="24"/>
  <c r="E332" i="24" s="1"/>
  <c r="C333" i="24"/>
  <c r="C334" i="24"/>
  <c r="E334" i="24" s="1"/>
  <c r="C335" i="24"/>
  <c r="C336" i="24"/>
  <c r="C337" i="24"/>
  <c r="C338" i="24"/>
  <c r="E338" i="24" s="1"/>
  <c r="C339" i="24"/>
  <c r="E339" i="24" s="1"/>
  <c r="C340" i="24"/>
  <c r="D340" i="24" s="1"/>
  <c r="C341" i="24"/>
  <c r="C342" i="24"/>
  <c r="C343" i="24"/>
  <c r="E343" i="24" s="1"/>
  <c r="C344" i="24"/>
  <c r="E344" i="24" s="1"/>
  <c r="C345" i="24"/>
  <c r="C346" i="24"/>
  <c r="C347" i="24"/>
  <c r="C348" i="24"/>
  <c r="E348" i="24" s="1"/>
  <c r="C349" i="24"/>
  <c r="C350" i="24"/>
  <c r="E350" i="24" s="1"/>
  <c r="C351" i="24"/>
  <c r="C352" i="24"/>
  <c r="C353" i="24"/>
  <c r="C354" i="24"/>
  <c r="E354" i="24" s="1"/>
  <c r="C355" i="24"/>
  <c r="E355" i="24" s="1"/>
  <c r="C356" i="24"/>
  <c r="D356" i="24" s="1"/>
  <c r="C357" i="24"/>
  <c r="C358" i="24"/>
  <c r="C359" i="24"/>
  <c r="E359" i="24" s="1"/>
  <c r="C360" i="24"/>
  <c r="E360" i="24" s="1"/>
  <c r="C361" i="24"/>
  <c r="C362" i="24"/>
  <c r="C363" i="24"/>
  <c r="C364" i="24"/>
  <c r="E364" i="24" s="1"/>
  <c r="C365" i="24"/>
  <c r="C366" i="24"/>
  <c r="E366" i="24" s="1"/>
  <c r="C367" i="24"/>
  <c r="C368" i="24"/>
  <c r="C369" i="24"/>
  <c r="C370" i="24"/>
  <c r="E370" i="24" s="1"/>
  <c r="C371" i="24"/>
  <c r="E371" i="24" s="1"/>
  <c r="C372" i="24"/>
  <c r="D372" i="24" s="1"/>
  <c r="C373" i="24"/>
  <c r="C374" i="24"/>
  <c r="E374" i="24" s="1"/>
  <c r="C375" i="24"/>
  <c r="E375" i="24" s="1"/>
  <c r="C376" i="24"/>
  <c r="C377" i="24"/>
  <c r="C378" i="24"/>
  <c r="E378" i="24" s="1"/>
  <c r="C379" i="24"/>
  <c r="E379" i="24" s="1"/>
  <c r="C380" i="24"/>
  <c r="D380" i="24" s="1"/>
  <c r="C381" i="24"/>
  <c r="C382" i="24"/>
  <c r="C383" i="24"/>
  <c r="C384" i="24"/>
  <c r="C385" i="24"/>
  <c r="E385" i="24" s="1"/>
  <c r="C386" i="24"/>
  <c r="C387" i="24"/>
  <c r="C388" i="24"/>
  <c r="C389" i="24"/>
  <c r="C390" i="24"/>
  <c r="C391" i="24"/>
  <c r="E391" i="24" s="1"/>
  <c r="C392" i="24"/>
  <c r="C393" i="24"/>
  <c r="C394" i="24"/>
  <c r="C395" i="24"/>
  <c r="C396" i="24"/>
  <c r="E396" i="24" s="1"/>
  <c r="C397" i="24"/>
  <c r="C398" i="24"/>
  <c r="C399" i="24"/>
  <c r="C400" i="24"/>
  <c r="C401" i="24"/>
  <c r="E401" i="24" s="1"/>
  <c r="C402" i="24"/>
  <c r="C403" i="24"/>
  <c r="D403" i="24" s="1"/>
  <c r="C404" i="24"/>
  <c r="C405" i="24"/>
  <c r="C406" i="24"/>
  <c r="C407" i="24"/>
  <c r="E407" i="24" s="1"/>
  <c r="C408" i="24"/>
  <c r="C409" i="24"/>
  <c r="C410" i="24"/>
  <c r="C411" i="24"/>
  <c r="C412" i="24"/>
  <c r="E412" i="24" s="1"/>
  <c r="C413" i="24"/>
  <c r="C414" i="24"/>
  <c r="C415" i="24"/>
  <c r="C416" i="24"/>
  <c r="C417" i="24"/>
  <c r="E417" i="24" s="1"/>
  <c r="C418" i="24"/>
  <c r="C419" i="24"/>
  <c r="C420" i="24"/>
  <c r="C421" i="24"/>
  <c r="C422" i="24"/>
  <c r="C423" i="24"/>
  <c r="E423" i="24" s="1"/>
  <c r="C424" i="24"/>
  <c r="D424" i="24" s="1"/>
  <c r="C425" i="24"/>
  <c r="C426" i="24"/>
  <c r="C427" i="24"/>
  <c r="C428" i="24"/>
  <c r="E428" i="24" s="1"/>
  <c r="C429" i="24"/>
  <c r="C430" i="24"/>
  <c r="C431" i="24"/>
  <c r="C432" i="24"/>
  <c r="C433" i="24"/>
  <c r="E433" i="24" s="1"/>
  <c r="C434" i="24"/>
  <c r="C435" i="24"/>
  <c r="C436" i="24"/>
  <c r="C437" i="24"/>
  <c r="C438" i="24"/>
  <c r="C439" i="24"/>
  <c r="E439" i="24" s="1"/>
  <c r="C440" i="24"/>
  <c r="C441" i="24"/>
  <c r="C442" i="24"/>
  <c r="C443" i="24"/>
  <c r="C444" i="24"/>
  <c r="E444" i="24" s="1"/>
  <c r="C445" i="24"/>
  <c r="D445" i="24" s="1"/>
  <c r="C446" i="24"/>
  <c r="C447" i="24"/>
  <c r="C448" i="24"/>
  <c r="C449" i="24"/>
  <c r="E449" i="24" s="1"/>
  <c r="C450" i="24"/>
  <c r="C451" i="24"/>
  <c r="C452" i="24"/>
  <c r="C453" i="24"/>
  <c r="C454" i="24"/>
  <c r="C455" i="24"/>
  <c r="E455" i="24" s="1"/>
  <c r="C456" i="24"/>
  <c r="C457" i="24"/>
  <c r="C458" i="24"/>
  <c r="C459" i="24"/>
  <c r="C460" i="24"/>
  <c r="E460" i="24" s="1"/>
  <c r="C461" i="24"/>
  <c r="C462" i="24"/>
  <c r="C463" i="24"/>
  <c r="C464" i="24"/>
  <c r="C465" i="24"/>
  <c r="E465" i="24" s="1"/>
  <c r="C466" i="24"/>
  <c r="C467" i="24"/>
  <c r="D467" i="24" s="1"/>
  <c r="C468" i="24"/>
  <c r="C469" i="24"/>
  <c r="C470" i="24"/>
  <c r="C471" i="24"/>
  <c r="E471" i="24" s="1"/>
  <c r="C472" i="24"/>
  <c r="C473" i="24"/>
  <c r="C474" i="24"/>
  <c r="G4" i="10"/>
  <c r="F4" i="10"/>
  <c r="G4" i="9"/>
  <c r="F4" i="9"/>
  <c r="G4" i="8"/>
  <c r="F4" i="8"/>
  <c r="G4" i="7"/>
  <c r="F4" i="7"/>
  <c r="G4" i="5"/>
  <c r="F4" i="5"/>
  <c r="E473" i="24" l="1"/>
  <c r="D473" i="24"/>
  <c r="E457" i="24"/>
  <c r="D457" i="24"/>
  <c r="E425" i="24"/>
  <c r="D425" i="24"/>
  <c r="E409" i="24"/>
  <c r="D409" i="24"/>
  <c r="E405" i="24"/>
  <c r="D405" i="24"/>
  <c r="E397" i="24"/>
  <c r="D397" i="24"/>
  <c r="E377" i="24"/>
  <c r="D377" i="24"/>
  <c r="E369" i="24"/>
  <c r="D369" i="24"/>
  <c r="E361" i="24"/>
  <c r="D361" i="24"/>
  <c r="E353" i="24"/>
  <c r="D353" i="24"/>
  <c r="E345" i="24"/>
  <c r="D345" i="24"/>
  <c r="E337" i="24"/>
  <c r="D337" i="24"/>
  <c r="E333" i="24"/>
  <c r="D333" i="24"/>
  <c r="E325" i="24"/>
  <c r="D325" i="24"/>
  <c r="D305" i="24"/>
  <c r="E305" i="24"/>
  <c r="E301" i="24"/>
  <c r="D301" i="24"/>
  <c r="E293" i="24"/>
  <c r="D293" i="24"/>
  <c r="D273" i="24"/>
  <c r="E273" i="24"/>
  <c r="E269" i="24"/>
  <c r="D269" i="24"/>
  <c r="E261" i="24"/>
  <c r="D261" i="24"/>
  <c r="D257" i="24"/>
  <c r="E257" i="24"/>
  <c r="E253" i="24"/>
  <c r="D253" i="24"/>
  <c r="E245" i="24"/>
  <c r="D245" i="24"/>
  <c r="E237" i="24"/>
  <c r="D237" i="24"/>
  <c r="E229" i="24"/>
  <c r="D229" i="24"/>
  <c r="E221" i="24"/>
  <c r="D221" i="24"/>
  <c r="E213" i="24"/>
  <c r="D213" i="24"/>
  <c r="E205" i="24"/>
  <c r="D205" i="24"/>
  <c r="E197" i="24"/>
  <c r="D197" i="24"/>
  <c r="E189" i="24"/>
  <c r="D189" i="24"/>
  <c r="E181" i="24"/>
  <c r="D181" i="24"/>
  <c r="E173" i="24"/>
  <c r="D173" i="24"/>
  <c r="E165" i="24"/>
  <c r="D165" i="24"/>
  <c r="E157" i="24"/>
  <c r="D157" i="24"/>
  <c r="E149" i="24"/>
  <c r="D149" i="24"/>
  <c r="E141" i="24"/>
  <c r="D141" i="24"/>
  <c r="E133" i="24"/>
  <c r="D133" i="24"/>
  <c r="E125" i="24"/>
  <c r="D125" i="24"/>
  <c r="E117" i="24"/>
  <c r="D117" i="24"/>
  <c r="E109" i="24"/>
  <c r="D109" i="24"/>
  <c r="E101" i="24"/>
  <c r="D101" i="24"/>
  <c r="E93" i="24"/>
  <c r="D93" i="24"/>
  <c r="E85" i="24"/>
  <c r="D85" i="24"/>
  <c r="E77" i="24"/>
  <c r="D77" i="24"/>
  <c r="E69" i="24"/>
  <c r="D69" i="24"/>
  <c r="E61" i="24"/>
  <c r="D61" i="24"/>
  <c r="E53" i="24"/>
  <c r="D53" i="24"/>
  <c r="E45" i="24"/>
  <c r="D45" i="24"/>
  <c r="E37" i="24"/>
  <c r="D37" i="24"/>
  <c r="E29" i="24"/>
  <c r="D29" i="24"/>
  <c r="E21" i="24"/>
  <c r="D21" i="24"/>
  <c r="E13" i="24"/>
  <c r="D13" i="24"/>
  <c r="E5" i="24"/>
  <c r="D5" i="24"/>
  <c r="D465" i="24"/>
  <c r="D401" i="24"/>
  <c r="E313" i="24"/>
  <c r="E249" i="24"/>
  <c r="E472" i="24"/>
  <c r="D472" i="24"/>
  <c r="E452" i="24"/>
  <c r="D452" i="24"/>
  <c r="E448" i="24"/>
  <c r="D448" i="24"/>
  <c r="E440" i="24"/>
  <c r="D440" i="24"/>
  <c r="E420" i="24"/>
  <c r="D420" i="24"/>
  <c r="E416" i="24"/>
  <c r="D416" i="24"/>
  <c r="E404" i="24"/>
  <c r="D404" i="24"/>
  <c r="E400" i="24"/>
  <c r="D400" i="24"/>
  <c r="D392" i="24"/>
  <c r="E392" i="24"/>
  <c r="D376" i="24"/>
  <c r="E376" i="24"/>
  <c r="E324" i="24"/>
  <c r="D324" i="24"/>
  <c r="E308" i="24"/>
  <c r="D308" i="24"/>
  <c r="E292" i="24"/>
  <c r="D292" i="24"/>
  <c r="E288" i="24"/>
  <c r="D288" i="24"/>
  <c r="E272" i="24"/>
  <c r="D272" i="24"/>
  <c r="E244" i="24"/>
  <c r="D244" i="24"/>
  <c r="E240" i="24"/>
  <c r="D240" i="24"/>
  <c r="E224" i="24"/>
  <c r="D224" i="24"/>
  <c r="E208" i="24"/>
  <c r="D208" i="24"/>
  <c r="E204" i="24"/>
  <c r="D204" i="24"/>
  <c r="D196" i="24"/>
  <c r="E196" i="24"/>
  <c r="E176" i="24"/>
  <c r="D176" i="24"/>
  <c r="E160" i="24"/>
  <c r="D160" i="24"/>
  <c r="E156" i="24"/>
  <c r="D156" i="24"/>
  <c r="E148" i="24"/>
  <c r="D148" i="24"/>
  <c r="E128" i="24"/>
  <c r="D128" i="24"/>
  <c r="E124" i="24"/>
  <c r="D124" i="24"/>
  <c r="E116" i="24"/>
  <c r="D116" i="24"/>
  <c r="E108" i="24"/>
  <c r="D108" i="24"/>
  <c r="E80" i="24"/>
  <c r="D80" i="24"/>
  <c r="E64" i="24"/>
  <c r="D64" i="24"/>
  <c r="E60" i="24"/>
  <c r="D60" i="24"/>
  <c r="E52" i="24"/>
  <c r="D52" i="24"/>
  <c r="E44" i="24"/>
  <c r="D44" i="24"/>
  <c r="E16" i="24"/>
  <c r="D16" i="24"/>
  <c r="E12" i="24"/>
  <c r="D12" i="24"/>
  <c r="D4" i="24"/>
  <c r="E4" i="24"/>
  <c r="D348" i="24"/>
  <c r="D284" i="24"/>
  <c r="D200" i="24"/>
  <c r="D396" i="24"/>
  <c r="E445" i="24"/>
  <c r="E463" i="24"/>
  <c r="D463" i="24"/>
  <c r="E459" i="24"/>
  <c r="D459" i="24"/>
  <c r="E451" i="24"/>
  <c r="D451" i="24"/>
  <c r="E447" i="24"/>
  <c r="D447" i="24"/>
  <c r="E443" i="24"/>
  <c r="D443" i="24"/>
  <c r="D435" i="24"/>
  <c r="E435" i="24"/>
  <c r="E431" i="24"/>
  <c r="D431" i="24"/>
  <c r="E427" i="24"/>
  <c r="D427" i="24"/>
  <c r="E419" i="24"/>
  <c r="D419" i="24"/>
  <c r="E415" i="24"/>
  <c r="D415" i="24"/>
  <c r="E411" i="24"/>
  <c r="D411" i="24"/>
  <c r="E399" i="24"/>
  <c r="D399" i="24"/>
  <c r="E395" i="24"/>
  <c r="D395" i="24"/>
  <c r="E387" i="24"/>
  <c r="D387" i="24"/>
  <c r="E383" i="24"/>
  <c r="D383" i="24"/>
  <c r="E367" i="24"/>
  <c r="D367" i="24"/>
  <c r="D363" i="24"/>
  <c r="E363" i="24"/>
  <c r="E351" i="24"/>
  <c r="D351" i="24"/>
  <c r="D347" i="24"/>
  <c r="E347" i="24"/>
  <c r="E335" i="24"/>
  <c r="D335" i="24"/>
  <c r="E331" i="24"/>
  <c r="D331" i="24"/>
  <c r="E319" i="24"/>
  <c r="D319" i="24"/>
  <c r="E315" i="24"/>
  <c r="D315" i="24"/>
  <c r="E303" i="24"/>
  <c r="D303" i="24"/>
  <c r="E299" i="24"/>
  <c r="D299" i="24"/>
  <c r="E287" i="24"/>
  <c r="D287" i="24"/>
  <c r="E283" i="24"/>
  <c r="D283" i="24"/>
  <c r="E271" i="24"/>
  <c r="D271" i="24"/>
  <c r="E267" i="24"/>
  <c r="D267" i="24"/>
  <c r="E255" i="24"/>
  <c r="D255" i="24"/>
  <c r="E251" i="24"/>
  <c r="D251" i="24"/>
  <c r="D239" i="24"/>
  <c r="E239" i="24"/>
  <c r="E235" i="24"/>
  <c r="D235" i="24"/>
  <c r="E223" i="24"/>
  <c r="D223" i="24"/>
  <c r="E219" i="24"/>
  <c r="D219" i="24"/>
  <c r="E215" i="24"/>
  <c r="D215" i="24"/>
  <c r="E203" i="24"/>
  <c r="D203" i="24"/>
  <c r="E199" i="24"/>
  <c r="D199" i="24"/>
  <c r="E191" i="24"/>
  <c r="D191" i="24"/>
  <c r="E187" i="24"/>
  <c r="D187" i="24"/>
  <c r="E183" i="24"/>
  <c r="D183" i="24"/>
  <c r="D175" i="24"/>
  <c r="E175" i="24"/>
  <c r="E171" i="24"/>
  <c r="D171" i="24"/>
  <c r="E167" i="24"/>
  <c r="D167" i="24"/>
  <c r="E159" i="24"/>
  <c r="D159" i="24"/>
  <c r="E155" i="24"/>
  <c r="D155" i="24"/>
  <c r="E151" i="24"/>
  <c r="D151" i="24"/>
  <c r="E139" i="24"/>
  <c r="D139" i="24"/>
  <c r="E135" i="24"/>
  <c r="D135" i="24"/>
  <c r="E127" i="24"/>
  <c r="D127" i="24"/>
  <c r="E123" i="24"/>
  <c r="D123" i="24"/>
  <c r="E119" i="24"/>
  <c r="D119" i="24"/>
  <c r="D111" i="24"/>
  <c r="E111" i="24"/>
  <c r="E107" i="24"/>
  <c r="D107" i="24"/>
  <c r="E103" i="24"/>
  <c r="D103" i="24"/>
  <c r="E95" i="24"/>
  <c r="D95" i="24"/>
  <c r="E91" i="24"/>
  <c r="D91" i="24"/>
  <c r="E87" i="24"/>
  <c r="D87" i="24"/>
  <c r="E75" i="24"/>
  <c r="D75" i="24"/>
  <c r="E71" i="24"/>
  <c r="D71" i="24"/>
  <c r="E63" i="24"/>
  <c r="D63" i="24"/>
  <c r="E59" i="24"/>
  <c r="D59" i="24"/>
  <c r="E55" i="24"/>
  <c r="D55" i="24"/>
  <c r="D47" i="24"/>
  <c r="E47" i="24"/>
  <c r="E43" i="24"/>
  <c r="D43" i="24"/>
  <c r="E39" i="24"/>
  <c r="D39" i="24"/>
  <c r="E31" i="24"/>
  <c r="D31" i="24"/>
  <c r="E27" i="24"/>
  <c r="D27" i="24"/>
  <c r="E23" i="24"/>
  <c r="D23" i="24"/>
  <c r="E11" i="24"/>
  <c r="D11" i="24"/>
  <c r="E7" i="24"/>
  <c r="D7" i="24"/>
  <c r="D375" i="24"/>
  <c r="D366" i="24"/>
  <c r="D355" i="24"/>
  <c r="D344" i="24"/>
  <c r="D334" i="24"/>
  <c r="D323" i="24"/>
  <c r="D312" i="24"/>
  <c r="D302" i="24"/>
  <c r="D291" i="24"/>
  <c r="D280" i="24"/>
  <c r="D270" i="24"/>
  <c r="D259" i="24"/>
  <c r="D248" i="24"/>
  <c r="D238" i="24"/>
  <c r="D227" i="24"/>
  <c r="D216" i="24"/>
  <c r="D195" i="24"/>
  <c r="D174" i="24"/>
  <c r="D152" i="24"/>
  <c r="D131" i="24"/>
  <c r="D110" i="24"/>
  <c r="D88" i="24"/>
  <c r="D67" i="24"/>
  <c r="D46" i="24"/>
  <c r="D24" i="24"/>
  <c r="D3" i="24"/>
  <c r="D455" i="24"/>
  <c r="D433" i="24"/>
  <c r="D412" i="24"/>
  <c r="D391" i="24"/>
  <c r="E372" i="24"/>
  <c r="E340" i="24"/>
  <c r="E281" i="24"/>
  <c r="E207" i="24"/>
  <c r="E122" i="24"/>
  <c r="E36" i="24"/>
  <c r="E424" i="24"/>
  <c r="E469" i="24"/>
  <c r="D469" i="24"/>
  <c r="E461" i="24"/>
  <c r="D461" i="24"/>
  <c r="E453" i="24"/>
  <c r="D453" i="24"/>
  <c r="E441" i="24"/>
  <c r="D441" i="24"/>
  <c r="E437" i="24"/>
  <c r="D437" i="24"/>
  <c r="E429" i="24"/>
  <c r="D429" i="24"/>
  <c r="E421" i="24"/>
  <c r="D421" i="24"/>
  <c r="D413" i="24"/>
  <c r="E413" i="24"/>
  <c r="E393" i="24"/>
  <c r="D393" i="24"/>
  <c r="E389" i="24"/>
  <c r="D389" i="24"/>
  <c r="E381" i="24"/>
  <c r="D381" i="24"/>
  <c r="E373" i="24"/>
  <c r="D373" i="24"/>
  <c r="E365" i="24"/>
  <c r="D365" i="24"/>
  <c r="E357" i="24"/>
  <c r="D357" i="24"/>
  <c r="E349" i="24"/>
  <c r="D349" i="24"/>
  <c r="E341" i="24"/>
  <c r="D341" i="24"/>
  <c r="D321" i="24"/>
  <c r="E321" i="24"/>
  <c r="E317" i="24"/>
  <c r="D317" i="24"/>
  <c r="E309" i="24"/>
  <c r="D309" i="24"/>
  <c r="D289" i="24"/>
  <c r="E289" i="24"/>
  <c r="E285" i="24"/>
  <c r="D285" i="24"/>
  <c r="E277" i="24"/>
  <c r="D277" i="24"/>
  <c r="E241" i="24"/>
  <c r="D241" i="24"/>
  <c r="E233" i="24"/>
  <c r="D233" i="24"/>
  <c r="E225" i="24"/>
  <c r="D225" i="24"/>
  <c r="E217" i="24"/>
  <c r="D217" i="24"/>
  <c r="E209" i="24"/>
  <c r="D209" i="24"/>
  <c r="E201" i="24"/>
  <c r="D201" i="24"/>
  <c r="E193" i="24"/>
  <c r="D193" i="24"/>
  <c r="E185" i="24"/>
  <c r="D185" i="24"/>
  <c r="E177" i="24"/>
  <c r="D177" i="24"/>
  <c r="E169" i="24"/>
  <c r="D169" i="24"/>
  <c r="E161" i="24"/>
  <c r="D161" i="24"/>
  <c r="E153" i="24"/>
  <c r="D153" i="24"/>
  <c r="E145" i="24"/>
  <c r="D145" i="24"/>
  <c r="E137" i="24"/>
  <c r="D137" i="24"/>
  <c r="E129" i="24"/>
  <c r="D129" i="24"/>
  <c r="E121" i="24"/>
  <c r="D121" i="24"/>
  <c r="E113" i="24"/>
  <c r="D113" i="24"/>
  <c r="E105" i="24"/>
  <c r="D105" i="24"/>
  <c r="E97" i="24"/>
  <c r="D97" i="24"/>
  <c r="E89" i="24"/>
  <c r="D89" i="24"/>
  <c r="E81" i="24"/>
  <c r="D81" i="24"/>
  <c r="E73" i="24"/>
  <c r="D73" i="24"/>
  <c r="E65" i="24"/>
  <c r="D65" i="24"/>
  <c r="E57" i="24"/>
  <c r="D57" i="24"/>
  <c r="E49" i="24"/>
  <c r="D49" i="24"/>
  <c r="E41" i="24"/>
  <c r="D41" i="24"/>
  <c r="E33" i="24"/>
  <c r="D33" i="24"/>
  <c r="E25" i="24"/>
  <c r="D25" i="24"/>
  <c r="E17" i="24"/>
  <c r="D17" i="24"/>
  <c r="E9" i="24"/>
  <c r="D9" i="24"/>
  <c r="E468" i="24"/>
  <c r="D468" i="24"/>
  <c r="E464" i="24"/>
  <c r="D464" i="24"/>
  <c r="D456" i="24"/>
  <c r="E456" i="24"/>
  <c r="E436" i="24"/>
  <c r="D436" i="24"/>
  <c r="E432" i="24"/>
  <c r="D432" i="24"/>
  <c r="E408" i="24"/>
  <c r="D408" i="24"/>
  <c r="E388" i="24"/>
  <c r="D388" i="24"/>
  <c r="E384" i="24"/>
  <c r="D384" i="24"/>
  <c r="E368" i="24"/>
  <c r="D368" i="24"/>
  <c r="E352" i="24"/>
  <c r="D352" i="24"/>
  <c r="E336" i="24"/>
  <c r="D336" i="24"/>
  <c r="E320" i="24"/>
  <c r="D320" i="24"/>
  <c r="E304" i="24"/>
  <c r="D304" i="24"/>
  <c r="E276" i="24"/>
  <c r="D276" i="24"/>
  <c r="E260" i="24"/>
  <c r="D260" i="24"/>
  <c r="E256" i="24"/>
  <c r="D256" i="24"/>
  <c r="E212" i="24"/>
  <c r="D212" i="24"/>
  <c r="E192" i="24"/>
  <c r="D192" i="24"/>
  <c r="E188" i="24"/>
  <c r="D188" i="24"/>
  <c r="E180" i="24"/>
  <c r="D180" i="24"/>
  <c r="E172" i="24"/>
  <c r="D172" i="24"/>
  <c r="E144" i="24"/>
  <c r="D144" i="24"/>
  <c r="E140" i="24"/>
  <c r="D140" i="24"/>
  <c r="D132" i="24"/>
  <c r="E132" i="24"/>
  <c r="E112" i="24"/>
  <c r="D112" i="24"/>
  <c r="E96" i="24"/>
  <c r="D96" i="24"/>
  <c r="E92" i="24"/>
  <c r="D92" i="24"/>
  <c r="E84" i="24"/>
  <c r="D84" i="24"/>
  <c r="E76" i="24"/>
  <c r="D76" i="24"/>
  <c r="D68" i="24"/>
  <c r="E68" i="24"/>
  <c r="E48" i="24"/>
  <c r="D48" i="24"/>
  <c r="E32" i="24"/>
  <c r="D32" i="24"/>
  <c r="E28" i="24"/>
  <c r="D28" i="24"/>
  <c r="E20" i="24"/>
  <c r="D20" i="24"/>
  <c r="D316" i="24"/>
  <c r="D252" i="24"/>
  <c r="D220" i="24"/>
  <c r="D136" i="24"/>
  <c r="D72" i="24"/>
  <c r="D8" i="24"/>
  <c r="D460" i="24"/>
  <c r="D417" i="24"/>
  <c r="E380" i="24"/>
  <c r="E297" i="24"/>
  <c r="E228" i="24"/>
  <c r="E474" i="24"/>
  <c r="D474" i="24"/>
  <c r="E470" i="24"/>
  <c r="D470" i="24"/>
  <c r="E466" i="24"/>
  <c r="D466" i="24"/>
  <c r="E462" i="24"/>
  <c r="D462" i="24"/>
  <c r="E458" i="24"/>
  <c r="D458" i="24"/>
  <c r="E454" i="24"/>
  <c r="D454" i="24"/>
  <c r="E450" i="24"/>
  <c r="D450" i="24"/>
  <c r="E446" i="24"/>
  <c r="D446" i="24"/>
  <c r="E442" i="24"/>
  <c r="D442" i="24"/>
  <c r="E438" i="24"/>
  <c r="D438" i="24"/>
  <c r="E434" i="24"/>
  <c r="D434" i="24"/>
  <c r="E430" i="24"/>
  <c r="D430" i="24"/>
  <c r="E426" i="24"/>
  <c r="D426" i="24"/>
  <c r="E422" i="24"/>
  <c r="D422" i="24"/>
  <c r="E418" i="24"/>
  <c r="D418" i="24"/>
  <c r="E414" i="24"/>
  <c r="D414" i="24"/>
  <c r="E410" i="24"/>
  <c r="D410" i="24"/>
  <c r="E406" i="24"/>
  <c r="D406" i="24"/>
  <c r="E402" i="24"/>
  <c r="D402" i="24"/>
  <c r="E398" i="24"/>
  <c r="D398" i="24"/>
  <c r="E394" i="24"/>
  <c r="D394" i="24"/>
  <c r="E390" i="24"/>
  <c r="D390" i="24"/>
  <c r="E386" i="24"/>
  <c r="D386" i="24"/>
  <c r="E382" i="24"/>
  <c r="D382" i="24"/>
  <c r="E362" i="24"/>
  <c r="D362" i="24"/>
  <c r="E358" i="24"/>
  <c r="D358" i="24"/>
  <c r="E346" i="24"/>
  <c r="D346" i="24"/>
  <c r="E342" i="24"/>
  <c r="D342" i="24"/>
  <c r="E330" i="24"/>
  <c r="D330" i="24"/>
  <c r="E326" i="24"/>
  <c r="D326" i="24"/>
  <c r="E314" i="24"/>
  <c r="D314" i="24"/>
  <c r="E310" i="24"/>
  <c r="D310" i="24"/>
  <c r="E298" i="24"/>
  <c r="D298" i="24"/>
  <c r="E294" i="24"/>
  <c r="D294" i="24"/>
  <c r="E282" i="24"/>
  <c r="D282" i="24"/>
  <c r="E278" i="24"/>
  <c r="D278" i="24"/>
  <c r="E266" i="24"/>
  <c r="D266" i="24"/>
  <c r="E262" i="24"/>
  <c r="D262" i="24"/>
  <c r="E250" i="24"/>
  <c r="D250" i="24"/>
  <c r="E246" i="24"/>
  <c r="D246" i="24"/>
  <c r="E234" i="24"/>
  <c r="D234" i="24"/>
  <c r="E230" i="24"/>
  <c r="D230" i="24"/>
  <c r="D218" i="24"/>
  <c r="E218" i="24"/>
  <c r="E214" i="24"/>
  <c r="D214" i="24"/>
  <c r="E210" i="24"/>
  <c r="D210" i="24"/>
  <c r="E202" i="24"/>
  <c r="D202" i="24"/>
  <c r="E198" i="24"/>
  <c r="D198" i="24"/>
  <c r="E194" i="24"/>
  <c r="D194" i="24"/>
  <c r="E182" i="24"/>
  <c r="D182" i="24"/>
  <c r="E178" i="24"/>
  <c r="D178" i="24"/>
  <c r="E170" i="24"/>
  <c r="D170" i="24"/>
  <c r="E166" i="24"/>
  <c r="D166" i="24"/>
  <c r="E162" i="24"/>
  <c r="D162" i="24"/>
  <c r="D154" i="24"/>
  <c r="E154" i="24"/>
  <c r="E150" i="24"/>
  <c r="D150" i="24"/>
  <c r="E146" i="24"/>
  <c r="D146" i="24"/>
  <c r="E138" i="24"/>
  <c r="D138" i="24"/>
  <c r="E134" i="24"/>
  <c r="D134" i="24"/>
  <c r="E130" i="24"/>
  <c r="D130" i="24"/>
  <c r="E118" i="24"/>
  <c r="D118" i="24"/>
  <c r="E114" i="24"/>
  <c r="D114" i="24"/>
  <c r="E106" i="24"/>
  <c r="D106" i="24"/>
  <c r="E102" i="24"/>
  <c r="D102" i="24"/>
  <c r="E98" i="24"/>
  <c r="D98" i="24"/>
  <c r="D90" i="24"/>
  <c r="E90" i="24"/>
  <c r="E86" i="24"/>
  <c r="D86" i="24"/>
  <c r="E82" i="24"/>
  <c r="D82" i="24"/>
  <c r="E74" i="24"/>
  <c r="D74" i="24"/>
  <c r="E70" i="24"/>
  <c r="D70" i="24"/>
  <c r="E66" i="24"/>
  <c r="D66" i="24"/>
  <c r="E54" i="24"/>
  <c r="D54" i="24"/>
  <c r="E50" i="24"/>
  <c r="D50" i="24"/>
  <c r="E42" i="24"/>
  <c r="D42" i="24"/>
  <c r="E38" i="24"/>
  <c r="D38" i="24"/>
  <c r="E34" i="24"/>
  <c r="D34" i="24"/>
  <c r="D26" i="24"/>
  <c r="E26" i="24"/>
  <c r="E22" i="24"/>
  <c r="D22" i="24"/>
  <c r="E18" i="24"/>
  <c r="D18" i="24"/>
  <c r="E10" i="24"/>
  <c r="D10" i="24"/>
  <c r="E6" i="24"/>
  <c r="D6" i="24"/>
  <c r="D374" i="24"/>
  <c r="D364" i="24"/>
  <c r="D354" i="24"/>
  <c r="D343" i="24"/>
  <c r="D332" i="24"/>
  <c r="D322" i="24"/>
  <c r="D311" i="24"/>
  <c r="D300" i="24"/>
  <c r="D290" i="24"/>
  <c r="D279" i="24"/>
  <c r="D268" i="24"/>
  <c r="D258" i="24"/>
  <c r="D247" i="24"/>
  <c r="D236" i="24"/>
  <c r="D226" i="24"/>
  <c r="D211" i="24"/>
  <c r="D190" i="24"/>
  <c r="D168" i="24"/>
  <c r="D147" i="24"/>
  <c r="D126" i="24"/>
  <c r="D104" i="24"/>
  <c r="D83" i="24"/>
  <c r="D62" i="24"/>
  <c r="D40" i="24"/>
  <c r="D19" i="24"/>
  <c r="D471" i="24"/>
  <c r="D449" i="24"/>
  <c r="D428" i="24"/>
  <c r="D407" i="24"/>
  <c r="D385" i="24"/>
  <c r="E329" i="24"/>
  <c r="E265" i="24"/>
  <c r="E186" i="24"/>
  <c r="E100" i="24"/>
  <c r="E15" i="24"/>
  <c r="E403" i="24"/>
  <c r="D2" i="24"/>
  <c r="G4" i="3"/>
  <c r="F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C100" i="22" l="1"/>
  <c r="B100" i="22"/>
  <c r="C99" i="22"/>
  <c r="B99" i="22"/>
  <c r="C98" i="22"/>
  <c r="B98" i="22"/>
  <c r="C97" i="22"/>
  <c r="B97" i="22"/>
  <c r="C96" i="22"/>
  <c r="B96" i="22"/>
  <c r="C95" i="22"/>
  <c r="B95" i="22"/>
  <c r="C94" i="22"/>
  <c r="B94" i="22"/>
  <c r="C93" i="22"/>
  <c r="B93" i="22"/>
  <c r="C92" i="22"/>
  <c r="B92" i="22"/>
  <c r="C91" i="22"/>
  <c r="B91" i="22"/>
  <c r="C90" i="22"/>
  <c r="B90" i="22"/>
  <c r="C89" i="22"/>
  <c r="B89" i="22"/>
  <c r="C88" i="22"/>
  <c r="B88" i="22"/>
  <c r="C87" i="22"/>
  <c r="B87" i="22"/>
  <c r="C86" i="22"/>
  <c r="B86" i="22"/>
  <c r="C85" i="22"/>
  <c r="B85" i="22"/>
  <c r="C84" i="22"/>
  <c r="B84" i="22"/>
  <c r="C83" i="22"/>
  <c r="B83" i="22"/>
  <c r="C82" i="22"/>
  <c r="B82" i="22"/>
  <c r="C81" i="22"/>
  <c r="B81" i="22"/>
  <c r="C80" i="22"/>
  <c r="B80" i="22"/>
  <c r="C79" i="22"/>
  <c r="B79" i="22"/>
  <c r="C78" i="22"/>
  <c r="B78" i="22"/>
  <c r="C77" i="22"/>
  <c r="B77" i="22"/>
  <c r="C76" i="22"/>
  <c r="B76" i="22"/>
  <c r="C75" i="22"/>
  <c r="B75" i="22"/>
  <c r="C74" i="22"/>
  <c r="B74" i="22"/>
  <c r="C73" i="22"/>
  <c r="B73" i="22"/>
  <c r="C72" i="22"/>
  <c r="B72" i="22"/>
  <c r="C71" i="22"/>
  <c r="B71" i="22"/>
  <c r="C70" i="22"/>
  <c r="B70" i="22"/>
  <c r="C69" i="22"/>
  <c r="B69" i="22"/>
  <c r="C68" i="22"/>
  <c r="B68" i="22"/>
  <c r="C67" i="22"/>
  <c r="B67" i="22"/>
  <c r="C66" i="22"/>
  <c r="B66" i="22"/>
  <c r="C65" i="22"/>
  <c r="B65" i="22"/>
  <c r="C64" i="22"/>
  <c r="B64" i="22"/>
  <c r="C63" i="22"/>
  <c r="B63" i="22"/>
  <c r="C62" i="22"/>
  <c r="B62" i="22"/>
  <c r="C61" i="22"/>
  <c r="B61" i="22"/>
  <c r="C60" i="22"/>
  <c r="B60" i="22"/>
  <c r="C59" i="22"/>
  <c r="B59" i="22"/>
  <c r="C58" i="22"/>
  <c r="B58" i="22"/>
  <c r="C57" i="22"/>
  <c r="B57" i="22"/>
  <c r="C56" i="22"/>
  <c r="B56" i="22"/>
  <c r="C55" i="22"/>
  <c r="B55" i="22"/>
  <c r="C52" i="22"/>
  <c r="B52" i="22"/>
  <c r="C51" i="22"/>
  <c r="B51" i="22"/>
  <c r="C50" i="22"/>
  <c r="B50" i="22"/>
  <c r="C49" i="22"/>
  <c r="B49" i="22"/>
  <c r="C48" i="22"/>
  <c r="B48" i="22"/>
  <c r="C47" i="22"/>
  <c r="B47" i="22"/>
  <c r="C46" i="22"/>
  <c r="B46" i="22"/>
  <c r="C45" i="22"/>
  <c r="B45" i="22"/>
  <c r="C44" i="22"/>
  <c r="B44" i="22"/>
  <c r="C43" i="22"/>
  <c r="B43" i="22"/>
  <c r="C42" i="22"/>
  <c r="B42" i="22"/>
  <c r="C41" i="22"/>
  <c r="B41" i="22"/>
  <c r="C40" i="22"/>
  <c r="B40" i="22"/>
  <c r="C39" i="22"/>
  <c r="B39" i="22"/>
  <c r="C38" i="22"/>
  <c r="B38" i="22"/>
  <c r="C37" i="22"/>
  <c r="B37" i="22"/>
  <c r="C36" i="22"/>
  <c r="B36" i="22"/>
  <c r="C35" i="22"/>
  <c r="B35" i="22"/>
  <c r="C34" i="22"/>
  <c r="B34" i="22"/>
  <c r="C33" i="22"/>
  <c r="B33" i="22"/>
  <c r="C32" i="22"/>
  <c r="B32" i="22"/>
  <c r="C31" i="22"/>
  <c r="B31" i="22"/>
  <c r="C30" i="22"/>
  <c r="B30" i="22"/>
  <c r="C29" i="22"/>
  <c r="B29" i="22"/>
  <c r="C28" i="22"/>
  <c r="B28" i="22"/>
  <c r="C27" i="22"/>
  <c r="B27" i="22"/>
  <c r="C26" i="22"/>
  <c r="B26" i="22"/>
  <c r="C25" i="22"/>
  <c r="B25" i="22"/>
  <c r="C24" i="22"/>
  <c r="B24" i="22"/>
  <c r="C23" i="22"/>
  <c r="B23" i="22"/>
  <c r="C22" i="22"/>
  <c r="B22" i="22"/>
  <c r="C21" i="22"/>
  <c r="B21" i="22"/>
  <c r="C20" i="22"/>
  <c r="B20" i="22"/>
  <c r="C19" i="22"/>
  <c r="B19" i="22"/>
  <c r="C18" i="22"/>
  <c r="B18" i="22"/>
  <c r="C17" i="22"/>
  <c r="B17" i="22"/>
  <c r="C16" i="22"/>
  <c r="B16" i="22"/>
  <c r="C15" i="22"/>
  <c r="B15" i="22"/>
  <c r="C14" i="22"/>
  <c r="B14" i="22"/>
  <c r="C13" i="22"/>
  <c r="B13" i="22"/>
  <c r="C12" i="22"/>
  <c r="B12" i="22"/>
  <c r="C11" i="22"/>
  <c r="B11" i="22"/>
  <c r="C10" i="22"/>
  <c r="B10" i="22"/>
  <c r="C9" i="22"/>
  <c r="B9" i="22"/>
  <c r="C100" i="21"/>
  <c r="B100" i="21"/>
  <c r="C99" i="21"/>
  <c r="B99" i="21"/>
  <c r="C98" i="21"/>
  <c r="B98" i="21"/>
  <c r="C97" i="21"/>
  <c r="B97" i="21"/>
  <c r="C96" i="21"/>
  <c r="B96" i="21"/>
  <c r="C95" i="21"/>
  <c r="B95" i="21"/>
  <c r="C94" i="21"/>
  <c r="B94" i="21"/>
  <c r="C93" i="21"/>
  <c r="B93" i="21"/>
  <c r="C92" i="21"/>
  <c r="B92" i="21"/>
  <c r="C91" i="21"/>
  <c r="B91" i="21"/>
  <c r="C90" i="21"/>
  <c r="B90" i="21"/>
  <c r="C89" i="21"/>
  <c r="B89" i="21"/>
  <c r="C88" i="21"/>
  <c r="B88" i="21"/>
  <c r="C87" i="21"/>
  <c r="B87" i="21"/>
  <c r="C86" i="21"/>
  <c r="B86" i="21"/>
  <c r="C85" i="21"/>
  <c r="B85" i="21"/>
  <c r="C84" i="21"/>
  <c r="B84" i="21"/>
  <c r="C83" i="21"/>
  <c r="B83" i="21"/>
  <c r="C82" i="21"/>
  <c r="B82" i="21"/>
  <c r="C81" i="21"/>
  <c r="B81" i="21"/>
  <c r="C80" i="21"/>
  <c r="B80" i="21"/>
  <c r="C79" i="21"/>
  <c r="B79" i="21"/>
  <c r="C78" i="21"/>
  <c r="B78" i="21"/>
  <c r="C77" i="21"/>
  <c r="B77" i="21"/>
  <c r="C76" i="21"/>
  <c r="B76" i="21"/>
  <c r="C75" i="21"/>
  <c r="B75" i="21"/>
  <c r="C74" i="21"/>
  <c r="B74" i="21"/>
  <c r="C73" i="21"/>
  <c r="B73" i="21"/>
  <c r="C72" i="21"/>
  <c r="B72" i="21"/>
  <c r="C71" i="21"/>
  <c r="B71" i="21"/>
  <c r="C70" i="21"/>
  <c r="B70" i="21"/>
  <c r="C69" i="21"/>
  <c r="B69" i="21"/>
  <c r="C68" i="21"/>
  <c r="B68" i="21"/>
  <c r="C67" i="21"/>
  <c r="B67" i="21"/>
  <c r="C66" i="21"/>
  <c r="B66" i="21"/>
  <c r="C65" i="21"/>
  <c r="B65" i="21"/>
  <c r="C64" i="21"/>
  <c r="B64" i="21"/>
  <c r="C63" i="21"/>
  <c r="B63" i="21"/>
  <c r="C62" i="21"/>
  <c r="B62" i="21"/>
  <c r="C61" i="21"/>
  <c r="B61" i="21"/>
  <c r="C60" i="21"/>
  <c r="B60" i="21"/>
  <c r="C59" i="21"/>
  <c r="B59" i="21"/>
  <c r="C58" i="21"/>
  <c r="B58" i="21"/>
  <c r="C57" i="21"/>
  <c r="B57" i="21"/>
  <c r="C56" i="21"/>
  <c r="B56" i="21"/>
  <c r="C55" i="21"/>
  <c r="B55" i="21"/>
  <c r="C52" i="21"/>
  <c r="B52" i="21"/>
  <c r="C51" i="21"/>
  <c r="B51" i="21"/>
  <c r="C50" i="21"/>
  <c r="B50" i="21"/>
  <c r="C49" i="21"/>
  <c r="B49" i="21"/>
  <c r="C48" i="21"/>
  <c r="B48" i="21"/>
  <c r="C47" i="21"/>
  <c r="B47" i="21"/>
  <c r="C46" i="21"/>
  <c r="B46" i="21"/>
  <c r="C45" i="21"/>
  <c r="B45" i="21"/>
  <c r="C44" i="21"/>
  <c r="B44" i="21"/>
  <c r="C43" i="21"/>
  <c r="B43" i="21"/>
  <c r="C42" i="21"/>
  <c r="B42" i="21"/>
  <c r="C41" i="21"/>
  <c r="B41" i="21"/>
  <c r="C40" i="21"/>
  <c r="B40" i="21"/>
  <c r="C39" i="21"/>
  <c r="B39" i="21"/>
  <c r="C38" i="21"/>
  <c r="B38" i="21"/>
  <c r="C37" i="21"/>
  <c r="B37" i="21"/>
  <c r="C36" i="21"/>
  <c r="B36" i="21"/>
  <c r="C35" i="21"/>
  <c r="B35" i="21"/>
  <c r="C34" i="21"/>
  <c r="B34" i="21"/>
  <c r="C33" i="21"/>
  <c r="B33" i="21"/>
  <c r="C32" i="21"/>
  <c r="B32" i="21"/>
  <c r="C31" i="21"/>
  <c r="B31" i="21"/>
  <c r="C30" i="21"/>
  <c r="B30" i="21"/>
  <c r="C29" i="21"/>
  <c r="B29" i="21"/>
  <c r="C28" i="21"/>
  <c r="B28" i="21"/>
  <c r="C27" i="21"/>
  <c r="B27" i="21"/>
  <c r="C26" i="21"/>
  <c r="B26" i="21"/>
  <c r="C25" i="21"/>
  <c r="B25" i="21"/>
  <c r="C24" i="21"/>
  <c r="B24" i="21"/>
  <c r="C23" i="21"/>
  <c r="B23" i="21"/>
  <c r="C22" i="21"/>
  <c r="B22" i="21"/>
  <c r="C21" i="21"/>
  <c r="B21" i="21"/>
  <c r="C102" i="18" l="1"/>
  <c r="B102" i="18"/>
  <c r="C101" i="18"/>
  <c r="B101" i="18"/>
  <c r="C100" i="18"/>
  <c r="B100" i="18"/>
  <c r="C99" i="18"/>
  <c r="B99" i="18"/>
  <c r="C98" i="18"/>
  <c r="B98" i="18"/>
  <c r="C97" i="18"/>
  <c r="B97" i="18"/>
  <c r="C96" i="18"/>
  <c r="B96" i="18"/>
  <c r="C95" i="18"/>
  <c r="B95" i="18"/>
  <c r="C94" i="18"/>
  <c r="B94" i="18"/>
  <c r="C93" i="18"/>
  <c r="B93" i="18"/>
  <c r="C92" i="18"/>
  <c r="B92" i="18"/>
  <c r="C91" i="18"/>
  <c r="B91" i="18"/>
  <c r="C90" i="18"/>
  <c r="B90" i="18"/>
  <c r="C89" i="18"/>
  <c r="B89" i="18"/>
  <c r="C88" i="18"/>
  <c r="B88" i="18"/>
  <c r="C87" i="18"/>
  <c r="B87" i="18"/>
  <c r="C86" i="18"/>
  <c r="B86" i="18"/>
  <c r="C85" i="18"/>
  <c r="B85" i="18"/>
  <c r="C84" i="18"/>
  <c r="B84" i="18"/>
  <c r="C83" i="18"/>
  <c r="B83" i="18"/>
  <c r="C82" i="18"/>
  <c r="B82" i="18"/>
  <c r="C81" i="18"/>
  <c r="B81" i="18"/>
  <c r="C80" i="18"/>
  <c r="B80" i="18"/>
  <c r="C79" i="18"/>
  <c r="B79" i="18"/>
  <c r="C78" i="18"/>
  <c r="B78" i="18"/>
  <c r="C77" i="18"/>
  <c r="B77" i="18"/>
  <c r="C76" i="18"/>
  <c r="B76" i="18"/>
  <c r="C75" i="18"/>
  <c r="B75" i="18"/>
  <c r="C74" i="18"/>
  <c r="B74" i="18"/>
  <c r="C73" i="18"/>
  <c r="B73" i="18"/>
  <c r="C72" i="18"/>
  <c r="B72" i="18"/>
  <c r="C71" i="18"/>
  <c r="B71" i="18"/>
  <c r="C70" i="18"/>
  <c r="B70" i="18"/>
  <c r="C69" i="18"/>
  <c r="B69" i="18"/>
  <c r="C68" i="18"/>
  <c r="B68" i="18"/>
  <c r="C67" i="18"/>
  <c r="B67" i="18"/>
  <c r="C66" i="18"/>
  <c r="B66" i="18"/>
  <c r="C65" i="18"/>
  <c r="B65" i="18"/>
  <c r="C64" i="18"/>
  <c r="B64" i="18"/>
  <c r="C63" i="18"/>
  <c r="B63" i="18"/>
  <c r="C62" i="18"/>
  <c r="B62" i="18"/>
  <c r="C61" i="18"/>
  <c r="B61" i="18"/>
  <c r="C60" i="18"/>
  <c r="B60" i="18"/>
  <c r="C59" i="18"/>
  <c r="B59" i="18"/>
  <c r="C58" i="18"/>
  <c r="B58" i="18"/>
  <c r="C57" i="18"/>
  <c r="B57" i="18"/>
  <c r="C54" i="18"/>
  <c r="B54" i="18"/>
  <c r="C53" i="18"/>
  <c r="B53" i="18"/>
  <c r="C52" i="18"/>
  <c r="B52" i="18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B45" i="18"/>
  <c r="C44" i="18"/>
  <c r="B44" i="18"/>
  <c r="C43" i="18"/>
  <c r="B43" i="18"/>
  <c r="C42" i="18"/>
  <c r="B42" i="18"/>
  <c r="C41" i="18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101" i="16"/>
  <c r="B101" i="16"/>
  <c r="C100" i="16"/>
  <c r="B100" i="16"/>
  <c r="C99" i="16"/>
  <c r="B99" i="16"/>
  <c r="C98" i="16"/>
  <c r="B98" i="16"/>
  <c r="C97" i="16"/>
  <c r="B97" i="16"/>
  <c r="C96" i="16"/>
  <c r="B96" i="16"/>
  <c r="C95" i="16"/>
  <c r="B95" i="16"/>
  <c r="C94" i="16"/>
  <c r="B94" i="16"/>
  <c r="C93" i="16"/>
  <c r="B93" i="16"/>
  <c r="C92" i="16"/>
  <c r="B92" i="16"/>
  <c r="C91" i="16"/>
  <c r="B91" i="16"/>
  <c r="C90" i="16"/>
  <c r="B90" i="16"/>
  <c r="C89" i="16"/>
  <c r="B89" i="16"/>
  <c r="C88" i="16"/>
  <c r="B88" i="16"/>
  <c r="C87" i="16"/>
  <c r="B87" i="16"/>
  <c r="C86" i="16"/>
  <c r="B86" i="16"/>
  <c r="C85" i="16"/>
  <c r="B85" i="16"/>
  <c r="C84" i="16"/>
  <c r="B84" i="16"/>
  <c r="C83" i="16"/>
  <c r="B83" i="16"/>
  <c r="C82" i="16"/>
  <c r="B82" i="16"/>
  <c r="C81" i="16"/>
  <c r="B81" i="16"/>
  <c r="C80" i="16"/>
  <c r="B80" i="16"/>
  <c r="C79" i="16"/>
  <c r="B79" i="16"/>
  <c r="C78" i="16"/>
  <c r="B78" i="16"/>
  <c r="C77" i="16"/>
  <c r="B77" i="16"/>
  <c r="C76" i="16"/>
  <c r="B76" i="16"/>
  <c r="C75" i="16"/>
  <c r="B75" i="16"/>
  <c r="C74" i="16"/>
  <c r="B74" i="16"/>
  <c r="C73" i="16"/>
  <c r="B73" i="16"/>
  <c r="C72" i="16"/>
  <c r="B72" i="16"/>
  <c r="C71" i="16"/>
  <c r="B71" i="16"/>
  <c r="C70" i="16"/>
  <c r="B70" i="16"/>
  <c r="C69" i="16"/>
  <c r="B69" i="16"/>
  <c r="C68" i="16"/>
  <c r="B68" i="16"/>
  <c r="C67" i="16"/>
  <c r="B67" i="16"/>
  <c r="C66" i="16"/>
  <c r="B66" i="16"/>
  <c r="C65" i="16"/>
  <c r="B65" i="16"/>
  <c r="C64" i="16"/>
  <c r="B64" i="16"/>
  <c r="C63" i="16"/>
  <c r="B63" i="16"/>
  <c r="C62" i="16"/>
  <c r="B62" i="16"/>
  <c r="C61" i="16"/>
  <c r="B61" i="16"/>
  <c r="C60" i="16"/>
  <c r="B60" i="16"/>
  <c r="C59" i="16"/>
  <c r="B59" i="16"/>
  <c r="C58" i="16"/>
  <c r="B58" i="16"/>
  <c r="C57" i="16"/>
  <c r="B57" i="16"/>
  <c r="C56" i="16"/>
  <c r="B56" i="16"/>
  <c r="C53" i="16"/>
  <c r="B53" i="16"/>
  <c r="C52" i="16"/>
  <c r="B52" i="16"/>
  <c r="C51" i="16"/>
  <c r="B51" i="16"/>
  <c r="C50" i="16"/>
  <c r="B50" i="16"/>
  <c r="C49" i="16"/>
  <c r="B49" i="16"/>
  <c r="C48" i="16"/>
  <c r="B48" i="16"/>
  <c r="C47" i="16"/>
  <c r="B47" i="16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C29" i="16"/>
  <c r="B29" i="16"/>
  <c r="C28" i="16"/>
  <c r="B28" i="16"/>
  <c r="C27" i="16"/>
  <c r="B27" i="16"/>
  <c r="C26" i="16"/>
  <c r="B26" i="16"/>
  <c r="C25" i="16"/>
  <c r="B25" i="16"/>
  <c r="C24" i="16"/>
  <c r="B24" i="16"/>
  <c r="C23" i="16"/>
  <c r="B23" i="16"/>
  <c r="C101" i="14"/>
  <c r="B101" i="14"/>
  <c r="C100" i="14"/>
  <c r="B100" i="14"/>
  <c r="C99" i="14"/>
  <c r="B99" i="14"/>
  <c r="C98" i="14"/>
  <c r="B98" i="14"/>
  <c r="C97" i="14"/>
  <c r="B97" i="14"/>
  <c r="C96" i="14"/>
  <c r="B96" i="14"/>
  <c r="C95" i="14"/>
  <c r="B95" i="14"/>
  <c r="C94" i="14"/>
  <c r="B94" i="14"/>
  <c r="C93" i="14"/>
  <c r="B93" i="14"/>
  <c r="C92" i="14"/>
  <c r="B92" i="14"/>
  <c r="C91" i="14"/>
  <c r="B91" i="14"/>
  <c r="C90" i="14"/>
  <c r="B90" i="14"/>
  <c r="C89" i="14"/>
  <c r="B89" i="14"/>
  <c r="C88" i="14"/>
  <c r="B88" i="14"/>
  <c r="C87" i="14"/>
  <c r="B87" i="14"/>
  <c r="C86" i="14"/>
  <c r="B86" i="14"/>
  <c r="C85" i="14"/>
  <c r="B85" i="14"/>
  <c r="C84" i="14"/>
  <c r="B84" i="14"/>
  <c r="C83" i="14"/>
  <c r="B83" i="14"/>
  <c r="C82" i="14"/>
  <c r="B82" i="14"/>
  <c r="C81" i="14"/>
  <c r="B81" i="14"/>
  <c r="C80" i="14"/>
  <c r="B80" i="14"/>
  <c r="C79" i="14"/>
  <c r="B79" i="14"/>
  <c r="C78" i="14"/>
  <c r="B78" i="14"/>
  <c r="C77" i="14"/>
  <c r="B77" i="14"/>
  <c r="C76" i="14"/>
  <c r="B76" i="14"/>
  <c r="C75" i="14"/>
  <c r="B75" i="14"/>
  <c r="C74" i="14"/>
  <c r="B74" i="14"/>
  <c r="C73" i="14"/>
  <c r="B73" i="14"/>
  <c r="C72" i="14"/>
  <c r="B72" i="14"/>
  <c r="C71" i="14"/>
  <c r="B71" i="14"/>
  <c r="C70" i="14"/>
  <c r="B70" i="14"/>
  <c r="C69" i="14"/>
  <c r="B69" i="14"/>
  <c r="C68" i="14"/>
  <c r="B68" i="14"/>
  <c r="C67" i="14"/>
  <c r="B67" i="14"/>
  <c r="C66" i="14"/>
  <c r="B66" i="14"/>
  <c r="C65" i="14"/>
  <c r="B65" i="14"/>
  <c r="C64" i="14"/>
  <c r="B64" i="14"/>
  <c r="C63" i="14"/>
  <c r="B63" i="14"/>
  <c r="C62" i="14"/>
  <c r="B62" i="14"/>
  <c r="C61" i="14"/>
  <c r="B61" i="14"/>
  <c r="C60" i="14"/>
  <c r="B60" i="14"/>
  <c r="C59" i="14"/>
  <c r="B59" i="14"/>
  <c r="C58" i="14"/>
  <c r="B58" i="14"/>
  <c r="C57" i="14"/>
  <c r="B57" i="14"/>
  <c r="C56" i="14"/>
  <c r="B56" i="14"/>
  <c r="C53" i="14"/>
  <c r="B53" i="14"/>
  <c r="C52" i="14"/>
  <c r="B52" i="14"/>
  <c r="C51" i="14"/>
  <c r="B51" i="14"/>
  <c r="C50" i="14"/>
  <c r="B50" i="14"/>
  <c r="C49" i="14"/>
  <c r="B49" i="14"/>
  <c r="C48" i="14"/>
  <c r="B48" i="14"/>
  <c r="C47" i="14"/>
  <c r="B47" i="14"/>
  <c r="C46" i="14"/>
  <c r="B46" i="14"/>
  <c r="C45" i="14"/>
  <c r="B45" i="14"/>
  <c r="C44" i="14"/>
  <c r="B44" i="14"/>
  <c r="C43" i="14"/>
  <c r="B43" i="14"/>
  <c r="C42" i="14"/>
  <c r="B42" i="14"/>
  <c r="C41" i="14"/>
  <c r="B41" i="14"/>
  <c r="C40" i="14"/>
  <c r="B40" i="14"/>
  <c r="C39" i="14"/>
  <c r="B39" i="14"/>
  <c r="C38" i="14"/>
  <c r="B38" i="14"/>
  <c r="C37" i="14"/>
  <c r="B37" i="14"/>
  <c r="C36" i="14"/>
  <c r="B36" i="14"/>
  <c r="C35" i="14"/>
  <c r="B35" i="14"/>
  <c r="C34" i="14"/>
  <c r="B34" i="14"/>
  <c r="C33" i="14"/>
  <c r="B33" i="14"/>
  <c r="C32" i="14"/>
  <c r="B32" i="14"/>
  <c r="C31" i="14"/>
  <c r="B31" i="14"/>
  <c r="C30" i="14"/>
  <c r="B30" i="14"/>
  <c r="C29" i="14"/>
  <c r="B29" i="14"/>
  <c r="C28" i="14"/>
  <c r="B28" i="14"/>
  <c r="C27" i="14"/>
  <c r="B27" i="14"/>
  <c r="C26" i="14"/>
  <c r="B26" i="14"/>
  <c r="C25" i="14"/>
  <c r="B25" i="14"/>
  <c r="C24" i="14"/>
  <c r="B24" i="14"/>
  <c r="C23" i="14"/>
  <c r="B23" i="14"/>
  <c r="C22" i="14"/>
  <c r="B22" i="14"/>
  <c r="C21" i="14"/>
  <c r="B21" i="14"/>
  <c r="C20" i="14"/>
  <c r="B20" i="14"/>
  <c r="C19" i="14"/>
  <c r="B19" i="14"/>
  <c r="C18" i="14"/>
  <c r="B18" i="14"/>
  <c r="C17" i="14"/>
  <c r="B17" i="14"/>
  <c r="C16" i="14"/>
  <c r="B16" i="14"/>
  <c r="C15" i="14"/>
  <c r="B15" i="14"/>
  <c r="C14" i="14"/>
  <c r="B14" i="14"/>
  <c r="C101" i="12"/>
  <c r="B101" i="12"/>
  <c r="C100" i="12"/>
  <c r="B100" i="12"/>
  <c r="C99" i="12"/>
  <c r="B99" i="12"/>
  <c r="C98" i="12"/>
  <c r="B98" i="12"/>
  <c r="C97" i="12"/>
  <c r="B97" i="12"/>
  <c r="C96" i="12"/>
  <c r="B96" i="12"/>
  <c r="C95" i="12"/>
  <c r="B95" i="12"/>
  <c r="C94" i="12"/>
  <c r="B94" i="12"/>
  <c r="C93" i="12"/>
  <c r="B93" i="12"/>
  <c r="C92" i="12"/>
  <c r="B92" i="12"/>
  <c r="C91" i="12"/>
  <c r="B9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B15" i="12"/>
  <c r="C14" i="12"/>
  <c r="B14" i="12"/>
  <c r="C13" i="12"/>
  <c r="B13" i="12"/>
  <c r="C12" i="12"/>
  <c r="B12" i="12"/>
  <c r="C11" i="12"/>
  <c r="B11" i="12"/>
  <c r="C101" i="11"/>
  <c r="B101" i="11"/>
  <c r="C100" i="11"/>
  <c r="B100" i="11"/>
  <c r="C99" i="11"/>
  <c r="B99" i="11"/>
  <c r="C98" i="11"/>
  <c r="B98" i="11"/>
  <c r="C97" i="11"/>
  <c r="B97" i="11"/>
  <c r="C96" i="11"/>
  <c r="B96" i="11"/>
  <c r="C95" i="11"/>
  <c r="B95" i="11"/>
  <c r="C94" i="11"/>
  <c r="B94" i="11"/>
  <c r="C93" i="11"/>
  <c r="B93" i="11"/>
  <c r="C92" i="11"/>
  <c r="B92" i="11"/>
  <c r="C91" i="11"/>
  <c r="B91" i="11"/>
  <c r="C90" i="11"/>
  <c r="B90" i="11"/>
  <c r="C89" i="11"/>
  <c r="B89" i="11"/>
  <c r="C88" i="11"/>
  <c r="B88" i="11"/>
  <c r="C87" i="11"/>
  <c r="B87" i="11"/>
  <c r="C86" i="11"/>
  <c r="B86" i="11"/>
  <c r="C85" i="11"/>
  <c r="B85" i="11"/>
  <c r="C84" i="11"/>
  <c r="B84" i="11"/>
  <c r="C83" i="11"/>
  <c r="B83" i="11"/>
  <c r="C82" i="11"/>
  <c r="B82" i="11"/>
  <c r="C81" i="11"/>
  <c r="B81" i="11"/>
  <c r="C80" i="11"/>
  <c r="B80" i="11"/>
  <c r="C79" i="11"/>
  <c r="B79" i="11"/>
  <c r="C78" i="11"/>
  <c r="B78" i="11"/>
  <c r="C77" i="11"/>
  <c r="B77" i="11"/>
  <c r="C76" i="11"/>
  <c r="B76" i="11"/>
  <c r="C75" i="11"/>
  <c r="B75" i="11"/>
  <c r="C74" i="11"/>
  <c r="B74" i="11"/>
  <c r="C73" i="11"/>
  <c r="B73" i="11"/>
  <c r="C72" i="11"/>
  <c r="B72" i="11"/>
  <c r="C71" i="11"/>
  <c r="B71" i="11"/>
  <c r="C70" i="11"/>
  <c r="B70" i="11"/>
  <c r="C69" i="11"/>
  <c r="B69" i="11"/>
  <c r="C68" i="11"/>
  <c r="B68" i="11"/>
  <c r="C67" i="11"/>
  <c r="B67" i="11"/>
  <c r="C66" i="11"/>
  <c r="B66" i="11"/>
  <c r="C65" i="11"/>
  <c r="B65" i="11"/>
  <c r="C64" i="11"/>
  <c r="B64" i="11"/>
  <c r="C63" i="11"/>
  <c r="B63" i="11"/>
  <c r="C62" i="11"/>
  <c r="B62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3" i="11"/>
  <c r="B53" i="11"/>
  <c r="C52" i="11"/>
  <c r="B52" i="11"/>
  <c r="C51" i="11"/>
  <c r="B51" i="11"/>
  <c r="C50" i="11"/>
  <c r="B50" i="11"/>
  <c r="C49" i="11"/>
  <c r="B49" i="11"/>
  <c r="C48" i="11"/>
  <c r="B48" i="11"/>
  <c r="C47" i="11"/>
  <c r="B47" i="11"/>
  <c r="C46" i="11"/>
  <c r="B46" i="11"/>
  <c r="C45" i="11"/>
  <c r="B45" i="11"/>
  <c r="C44" i="11"/>
  <c r="B44" i="11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101" i="10"/>
  <c r="B101" i="10"/>
  <c r="C100" i="10"/>
  <c r="B100" i="10"/>
  <c r="C99" i="10"/>
  <c r="B99" i="10"/>
  <c r="C98" i="10"/>
  <c r="B98" i="10"/>
  <c r="C97" i="10"/>
  <c r="B97" i="10"/>
  <c r="C96" i="10"/>
  <c r="B96" i="10"/>
  <c r="C95" i="10"/>
  <c r="B95" i="10"/>
  <c r="C94" i="10"/>
  <c r="B94" i="10"/>
  <c r="C93" i="10"/>
  <c r="B93" i="10"/>
  <c r="C92" i="10"/>
  <c r="B92" i="10"/>
  <c r="C91" i="10"/>
  <c r="B91" i="10"/>
  <c r="C90" i="10"/>
  <c r="B90" i="10"/>
  <c r="C89" i="10"/>
  <c r="B89" i="10"/>
  <c r="C88" i="10"/>
  <c r="B88" i="10"/>
  <c r="C87" i="10"/>
  <c r="B87" i="10"/>
  <c r="C86" i="10"/>
  <c r="B86" i="10"/>
  <c r="C85" i="10"/>
  <c r="B85" i="10"/>
  <c r="C84" i="10"/>
  <c r="B84" i="10"/>
  <c r="C83" i="10"/>
  <c r="B83" i="10"/>
  <c r="C82" i="10"/>
  <c r="B82" i="10"/>
  <c r="C81" i="10"/>
  <c r="B81" i="10"/>
  <c r="C80" i="10"/>
  <c r="B80" i="10"/>
  <c r="C79" i="10"/>
  <c r="B79" i="10"/>
  <c r="C78" i="10"/>
  <c r="B78" i="10"/>
  <c r="C77" i="10"/>
  <c r="B77" i="10"/>
  <c r="C76" i="10"/>
  <c r="B76" i="10"/>
  <c r="C75" i="10"/>
  <c r="B75" i="10"/>
  <c r="C74" i="10"/>
  <c r="B74" i="10"/>
  <c r="C73" i="10"/>
  <c r="B73" i="10"/>
  <c r="C72" i="10"/>
  <c r="B72" i="10"/>
  <c r="C71" i="10"/>
  <c r="B71" i="10"/>
  <c r="C70" i="10"/>
  <c r="B70" i="10"/>
  <c r="C69" i="10"/>
  <c r="B69" i="10"/>
  <c r="C68" i="10"/>
  <c r="B68" i="10"/>
  <c r="C67" i="10"/>
  <c r="B67" i="10"/>
  <c r="C66" i="10"/>
  <c r="B66" i="10"/>
  <c r="C65" i="10"/>
  <c r="B65" i="10"/>
  <c r="C64" i="10"/>
  <c r="B64" i="10"/>
  <c r="C63" i="10"/>
  <c r="B63" i="10"/>
  <c r="C62" i="10"/>
  <c r="B62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3" i="10"/>
  <c r="B53" i="10"/>
  <c r="C52" i="10"/>
  <c r="B52" i="10"/>
  <c r="C51" i="10"/>
  <c r="B51" i="10"/>
  <c r="C50" i="10"/>
  <c r="B50" i="10"/>
  <c r="C49" i="10"/>
  <c r="B49" i="10"/>
  <c r="C48" i="10"/>
  <c r="B48" i="10"/>
  <c r="C47" i="10"/>
  <c r="B47" i="10"/>
  <c r="C46" i="10"/>
  <c r="B46" i="10"/>
  <c r="C45" i="10"/>
  <c r="B45" i="10"/>
  <c r="C44" i="10"/>
  <c r="B44" i="10"/>
  <c r="C43" i="10"/>
  <c r="B43" i="10"/>
  <c r="C42" i="10"/>
  <c r="B42" i="10"/>
  <c r="C41" i="10"/>
  <c r="B41" i="10"/>
  <c r="C40" i="10"/>
  <c r="B40" i="10"/>
  <c r="C39" i="10"/>
  <c r="B39" i="10"/>
  <c r="C38" i="10"/>
  <c r="B38" i="10"/>
  <c r="C37" i="10"/>
  <c r="B37" i="10"/>
  <c r="C36" i="10"/>
  <c r="B36" i="10"/>
  <c r="C35" i="10"/>
  <c r="B35" i="10"/>
  <c r="C34" i="10"/>
  <c r="B34" i="10"/>
  <c r="C33" i="10"/>
  <c r="B33" i="10"/>
  <c r="C32" i="10"/>
  <c r="B32" i="10"/>
  <c r="C31" i="10"/>
  <c r="B31" i="10"/>
  <c r="C30" i="10"/>
  <c r="B30" i="10"/>
  <c r="C29" i="10"/>
  <c r="B29" i="10"/>
  <c r="C28" i="10"/>
  <c r="B28" i="10"/>
  <c r="C27" i="10"/>
  <c r="B27" i="10"/>
  <c r="C26" i="10"/>
  <c r="B26" i="10"/>
  <c r="C25" i="10"/>
  <c r="B25" i="10"/>
  <c r="C24" i="10"/>
  <c r="B24" i="10"/>
  <c r="C23" i="10"/>
  <c r="B23" i="10"/>
  <c r="C22" i="10"/>
  <c r="B22" i="10"/>
  <c r="C21" i="10"/>
  <c r="B21" i="10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1" i="9"/>
  <c r="B101" i="9"/>
  <c r="C100" i="9"/>
  <c r="B100" i="9"/>
  <c r="C99" i="9"/>
  <c r="B99" i="9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C85" i="9"/>
  <c r="B85" i="9"/>
  <c r="C84" i="9"/>
  <c r="B84" i="9"/>
  <c r="C83" i="9"/>
  <c r="B83" i="9"/>
  <c r="C82" i="9"/>
  <c r="B82" i="9"/>
  <c r="C81" i="9"/>
  <c r="B81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C101" i="7"/>
  <c r="B101" i="7"/>
  <c r="C100" i="7"/>
  <c r="B100" i="7"/>
  <c r="C99" i="7"/>
  <c r="B99" i="7"/>
  <c r="C98" i="7"/>
  <c r="B98" i="7"/>
  <c r="C97" i="7"/>
  <c r="B97" i="7"/>
  <c r="C96" i="7"/>
  <c r="B96" i="7"/>
  <c r="C95" i="7"/>
  <c r="B95" i="7"/>
  <c r="C94" i="7"/>
  <c r="B94" i="7"/>
  <c r="C93" i="7"/>
  <c r="B93" i="7"/>
  <c r="C92" i="7"/>
  <c r="B92" i="7"/>
  <c r="C91" i="7"/>
  <c r="B91" i="7"/>
  <c r="C90" i="7"/>
  <c r="B90" i="7"/>
  <c r="C89" i="7"/>
  <c r="B89" i="7"/>
  <c r="C88" i="7"/>
  <c r="B88" i="7"/>
  <c r="C87" i="7"/>
  <c r="B87" i="7"/>
  <c r="C86" i="7"/>
  <c r="B86" i="7"/>
  <c r="C85" i="7"/>
  <c r="B85" i="7"/>
  <c r="C84" i="7"/>
  <c r="B84" i="7"/>
  <c r="C83" i="7"/>
  <c r="B83" i="7"/>
  <c r="C82" i="7"/>
  <c r="B82" i="7"/>
  <c r="C81" i="7"/>
  <c r="B81" i="7"/>
  <c r="C80" i="7"/>
  <c r="B80" i="7"/>
  <c r="C79" i="7"/>
  <c r="B79" i="7"/>
  <c r="C78" i="7"/>
  <c r="B78" i="7"/>
  <c r="C77" i="7"/>
  <c r="B77" i="7"/>
  <c r="C76" i="7"/>
  <c r="B76" i="7"/>
  <c r="C75" i="7"/>
  <c r="B75" i="7"/>
  <c r="C74" i="7"/>
  <c r="B74" i="7"/>
  <c r="C73" i="7"/>
  <c r="B73" i="7"/>
  <c r="C72" i="7"/>
  <c r="B72" i="7"/>
  <c r="C71" i="7"/>
  <c r="B71" i="7"/>
  <c r="C70" i="7"/>
  <c r="B70" i="7"/>
  <c r="C69" i="7"/>
  <c r="B69" i="7"/>
  <c r="C68" i="7"/>
  <c r="B68" i="7"/>
  <c r="C67" i="7"/>
  <c r="B67" i="7"/>
  <c r="C66" i="7"/>
  <c r="B66" i="7"/>
  <c r="C65" i="7"/>
  <c r="B65" i="7"/>
  <c r="C64" i="7"/>
  <c r="B64" i="7"/>
  <c r="C63" i="7"/>
  <c r="B63" i="7"/>
  <c r="C62" i="7"/>
  <c r="B62" i="7"/>
  <c r="C61" i="7"/>
  <c r="B61" i="7"/>
  <c r="C60" i="7"/>
  <c r="B60" i="7"/>
  <c r="C59" i="7"/>
  <c r="B59" i="7"/>
  <c r="C58" i="7"/>
  <c r="B58" i="7"/>
  <c r="C57" i="7"/>
  <c r="B57" i="7"/>
  <c r="C56" i="7"/>
  <c r="B56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21" i="7" l="1"/>
  <c r="C21" i="7"/>
  <c r="B19" i="7"/>
  <c r="C19" i="7"/>
  <c r="B20" i="7"/>
  <c r="C20" i="7"/>
  <c r="B15" i="8"/>
  <c r="C15" i="8"/>
  <c r="B16" i="8"/>
  <c r="C16" i="8"/>
  <c r="B17" i="8"/>
  <c r="C17" i="8"/>
  <c r="B18" i="8"/>
  <c r="C18" i="8"/>
  <c r="B59" i="5"/>
  <c r="C59" i="5"/>
  <c r="B9" i="9"/>
  <c r="C9" i="9"/>
  <c r="B10" i="9"/>
  <c r="C10" i="9"/>
  <c r="B11" i="9"/>
  <c r="C11" i="9"/>
  <c r="B12" i="9"/>
  <c r="C12" i="9"/>
  <c r="B13" i="9"/>
  <c r="C13" i="9"/>
  <c r="B14" i="9"/>
  <c r="C14" i="9"/>
  <c r="B6" i="12"/>
  <c r="C6" i="12"/>
  <c r="B7" i="12"/>
  <c r="C7" i="12"/>
  <c r="B8" i="12"/>
  <c r="C8" i="12"/>
  <c r="B5" i="11"/>
  <c r="C5" i="11"/>
  <c r="B6" i="11"/>
  <c r="C6" i="11"/>
  <c r="B7" i="11"/>
  <c r="C7" i="11"/>
  <c r="B9" i="11"/>
  <c r="C9" i="11"/>
  <c r="B10" i="11"/>
  <c r="C10" i="11"/>
  <c r="B8" i="11"/>
  <c r="C8" i="11"/>
  <c r="B9" i="12"/>
  <c r="C9" i="12"/>
  <c r="B10" i="12"/>
  <c r="C10" i="12"/>
  <c r="B10" i="10"/>
  <c r="C10" i="10"/>
  <c r="B9" i="10"/>
  <c r="C9" i="10"/>
  <c r="B9" i="18"/>
  <c r="C9" i="18"/>
  <c r="B13" i="18"/>
  <c r="C13" i="18"/>
  <c r="B14" i="18"/>
  <c r="C14" i="18"/>
  <c r="B15" i="18"/>
  <c r="C15" i="18"/>
  <c r="B16" i="18"/>
  <c r="C16" i="18"/>
  <c r="B17" i="18"/>
  <c r="C17" i="18"/>
  <c r="B18" i="18"/>
  <c r="C18" i="18"/>
  <c r="B19" i="18"/>
  <c r="C19" i="18"/>
  <c r="B20" i="18"/>
  <c r="C20" i="18"/>
  <c r="B3" i="22"/>
  <c r="C3" i="22"/>
  <c r="B4" i="22"/>
  <c r="C4" i="22"/>
  <c r="B5" i="22"/>
  <c r="C5" i="22"/>
  <c r="B6" i="22"/>
  <c r="C6" i="22"/>
  <c r="B7" i="22"/>
  <c r="C7" i="22"/>
  <c r="B8" i="22"/>
  <c r="C8" i="22"/>
  <c r="B20" i="21"/>
  <c r="C20" i="21"/>
  <c r="B10" i="18"/>
  <c r="C10" i="18"/>
  <c r="B11" i="18"/>
  <c r="C11" i="18"/>
  <c r="B12" i="18"/>
  <c r="C12" i="18"/>
  <c r="B3" i="21"/>
  <c r="C3" i="21"/>
  <c r="B4" i="21"/>
  <c r="C4" i="21"/>
  <c r="B5" i="21"/>
  <c r="C5" i="21"/>
  <c r="B6" i="21"/>
  <c r="C6" i="21"/>
  <c r="B7" i="21"/>
  <c r="C7" i="21"/>
  <c r="B8" i="21"/>
  <c r="C8" i="21"/>
  <c r="B9" i="21"/>
  <c r="C9" i="21"/>
  <c r="B10" i="21"/>
  <c r="C10" i="21"/>
  <c r="B11" i="21"/>
  <c r="C11" i="21"/>
  <c r="B12" i="21"/>
  <c r="C12" i="21"/>
  <c r="B13" i="21"/>
  <c r="C13" i="21"/>
  <c r="B14" i="21"/>
  <c r="C14" i="21"/>
  <c r="B15" i="21"/>
  <c r="C15" i="21"/>
  <c r="B16" i="21"/>
  <c r="C16" i="21"/>
  <c r="B17" i="21"/>
  <c r="C17" i="21"/>
  <c r="B18" i="21"/>
  <c r="C18" i="21"/>
  <c r="B19" i="21"/>
  <c r="C19" i="21"/>
  <c r="B4" i="18"/>
  <c r="C4" i="18"/>
  <c r="B5" i="18"/>
  <c r="C5" i="18"/>
  <c r="B6" i="18"/>
  <c r="C6" i="18"/>
  <c r="B7" i="18"/>
  <c r="C7" i="18"/>
  <c r="B8" i="18"/>
  <c r="C8" i="18"/>
  <c r="B4" i="16"/>
  <c r="C4" i="16"/>
  <c r="B5" i="16"/>
  <c r="C5" i="16"/>
  <c r="B6" i="16"/>
  <c r="C6" i="16"/>
  <c r="B7" i="16"/>
  <c r="C7" i="16"/>
  <c r="B8" i="16"/>
  <c r="C8" i="16"/>
  <c r="B9" i="16"/>
  <c r="C9" i="16"/>
  <c r="B10" i="16"/>
  <c r="C10" i="16"/>
  <c r="B11" i="16"/>
  <c r="C11" i="16"/>
  <c r="B12" i="16"/>
  <c r="C12" i="16"/>
  <c r="B13" i="16"/>
  <c r="C13" i="16"/>
  <c r="B14" i="16"/>
  <c r="C14" i="16"/>
  <c r="B15" i="16"/>
  <c r="C15" i="16"/>
  <c r="B16" i="16"/>
  <c r="C16" i="16"/>
  <c r="B17" i="16"/>
  <c r="C17" i="16"/>
  <c r="B18" i="16"/>
  <c r="C18" i="16"/>
  <c r="B19" i="16"/>
  <c r="C19" i="16"/>
  <c r="B20" i="16"/>
  <c r="C20" i="16"/>
  <c r="B21" i="16"/>
  <c r="C21" i="16"/>
  <c r="B22" i="16"/>
  <c r="C22" i="16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4" i="7"/>
  <c r="C4" i="7"/>
  <c r="B5" i="7"/>
  <c r="C5" i="7"/>
  <c r="B6" i="7"/>
  <c r="C6" i="7"/>
  <c r="B7" i="7"/>
  <c r="C7" i="7"/>
  <c r="B8" i="7"/>
  <c r="C8" i="7"/>
  <c r="B9" i="7"/>
  <c r="C9" i="7"/>
  <c r="B10" i="7"/>
  <c r="C10" i="7"/>
  <c r="B11" i="7"/>
  <c r="C11" i="7"/>
  <c r="B12" i="7"/>
  <c r="C12" i="7"/>
  <c r="B13" i="7"/>
  <c r="C13" i="7"/>
  <c r="B14" i="7"/>
  <c r="C14" i="7"/>
  <c r="B15" i="7"/>
  <c r="C15" i="7"/>
  <c r="B16" i="7"/>
  <c r="C16" i="7"/>
  <c r="B17" i="7"/>
  <c r="C17" i="7"/>
  <c r="B18" i="7"/>
  <c r="C18" i="7"/>
  <c r="B4" i="8"/>
  <c r="C4" i="8"/>
  <c r="B5" i="8"/>
  <c r="C5" i="8"/>
  <c r="B6" i="8"/>
  <c r="C6" i="8"/>
  <c r="B7" i="8"/>
  <c r="C7" i="8"/>
  <c r="B8" i="8"/>
  <c r="C8" i="8"/>
  <c r="B9" i="8"/>
  <c r="C9" i="8"/>
  <c r="B10" i="8"/>
  <c r="C10" i="8"/>
  <c r="B11" i="8"/>
  <c r="C11" i="8"/>
  <c r="B12" i="8"/>
  <c r="C12" i="8"/>
  <c r="B13" i="8"/>
  <c r="C13" i="8"/>
  <c r="B14" i="8"/>
  <c r="C14" i="8"/>
  <c r="B4" i="9"/>
  <c r="C4" i="9"/>
  <c r="B5" i="9"/>
  <c r="C5" i="9"/>
  <c r="B6" i="9"/>
  <c r="C6" i="9"/>
  <c r="B7" i="9"/>
  <c r="C7" i="9"/>
  <c r="B8" i="9"/>
  <c r="C8" i="9"/>
  <c r="B4" i="10"/>
  <c r="C4" i="10"/>
  <c r="B5" i="10"/>
  <c r="C5" i="10"/>
  <c r="B6" i="10"/>
  <c r="C6" i="10"/>
  <c r="B7" i="10"/>
  <c r="C7" i="10"/>
  <c r="B8" i="10"/>
  <c r="C8" i="10"/>
  <c r="B4" i="11"/>
  <c r="C4" i="11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B229" i="3"/>
  <c r="C229" i="3"/>
  <c r="B230" i="3"/>
  <c r="C230" i="3"/>
  <c r="B231" i="3"/>
  <c r="C231" i="3"/>
  <c r="B232" i="3"/>
  <c r="C232" i="3"/>
  <c r="B233" i="3"/>
  <c r="C233" i="3"/>
  <c r="B234" i="3"/>
  <c r="C234" i="3"/>
  <c r="B235" i="3"/>
  <c r="C235" i="3"/>
  <c r="B236" i="3"/>
  <c r="C236" i="3"/>
  <c r="B237" i="3"/>
  <c r="C237" i="3"/>
  <c r="B238" i="3"/>
  <c r="C238" i="3"/>
  <c r="B239" i="3"/>
  <c r="C239" i="3"/>
  <c r="B240" i="3"/>
  <c r="C240" i="3"/>
  <c r="B241" i="3"/>
  <c r="C241" i="3"/>
  <c r="B242" i="3"/>
  <c r="C242" i="3"/>
  <c r="B243" i="3"/>
  <c r="C243" i="3"/>
  <c r="B244" i="3"/>
  <c r="C244" i="3"/>
  <c r="B245" i="3"/>
  <c r="C245" i="3"/>
  <c r="B246" i="3"/>
  <c r="C246" i="3"/>
  <c r="B247" i="3"/>
  <c r="C247" i="3"/>
  <c r="B248" i="3"/>
  <c r="C248" i="3"/>
  <c r="B249" i="3"/>
  <c r="C249" i="3"/>
  <c r="B250" i="3"/>
  <c r="C250" i="3"/>
  <c r="B251" i="3"/>
  <c r="C251" i="3"/>
  <c r="B252" i="3"/>
  <c r="C252" i="3"/>
  <c r="B253" i="3"/>
  <c r="C253" i="3"/>
  <c r="B254" i="3"/>
  <c r="C254" i="3"/>
  <c r="B255" i="3"/>
  <c r="C255" i="3"/>
  <c r="B256" i="3"/>
  <c r="C256" i="3"/>
  <c r="B257" i="3"/>
  <c r="C257" i="3"/>
  <c r="B258" i="3"/>
  <c r="C258" i="3"/>
  <c r="B259" i="3"/>
  <c r="C259" i="3"/>
  <c r="B260" i="3"/>
  <c r="C260" i="3"/>
  <c r="B261" i="3"/>
  <c r="C261" i="3"/>
  <c r="B262" i="3"/>
  <c r="C262" i="3"/>
  <c r="B263" i="3"/>
  <c r="C263" i="3"/>
  <c r="B264" i="3"/>
  <c r="C264" i="3"/>
  <c r="B265" i="3"/>
  <c r="C265" i="3"/>
  <c r="B266" i="3"/>
  <c r="C266" i="3"/>
  <c r="B267" i="3"/>
  <c r="C267" i="3"/>
  <c r="B268" i="3"/>
  <c r="C268" i="3"/>
  <c r="B269" i="3"/>
  <c r="C269" i="3"/>
  <c r="B270" i="3"/>
  <c r="C270" i="3"/>
  <c r="B271" i="3"/>
  <c r="C271" i="3"/>
  <c r="B272" i="3"/>
  <c r="C272" i="3"/>
  <c r="B273" i="3"/>
  <c r="C273" i="3"/>
  <c r="B274" i="3"/>
  <c r="C274" i="3"/>
  <c r="B275" i="3"/>
  <c r="C275" i="3"/>
  <c r="B276" i="3"/>
  <c r="C276" i="3"/>
  <c r="B277" i="3"/>
  <c r="C277" i="3"/>
  <c r="B278" i="3"/>
  <c r="C278" i="3"/>
  <c r="B279" i="3"/>
  <c r="C279" i="3"/>
  <c r="B280" i="3"/>
  <c r="C280" i="3"/>
  <c r="B281" i="3"/>
  <c r="C281" i="3"/>
  <c r="B282" i="3"/>
  <c r="C282" i="3"/>
  <c r="B283" i="3"/>
  <c r="C283" i="3"/>
  <c r="B284" i="3"/>
  <c r="C284" i="3"/>
  <c r="B285" i="3"/>
  <c r="C285" i="3"/>
  <c r="B286" i="3"/>
  <c r="C286" i="3"/>
  <c r="B287" i="3"/>
  <c r="C287" i="3"/>
  <c r="B288" i="3"/>
  <c r="C288" i="3"/>
  <c r="B289" i="3"/>
  <c r="C289" i="3"/>
  <c r="B290" i="3"/>
  <c r="C290" i="3"/>
  <c r="B291" i="3"/>
  <c r="C291" i="3"/>
  <c r="B292" i="3"/>
  <c r="C292" i="3"/>
  <c r="B293" i="3"/>
  <c r="C293" i="3"/>
  <c r="B294" i="3"/>
  <c r="C294" i="3"/>
  <c r="B295" i="3"/>
  <c r="C295" i="3"/>
  <c r="B296" i="3"/>
  <c r="C296" i="3"/>
  <c r="B297" i="3"/>
  <c r="C297" i="3"/>
  <c r="B298" i="3"/>
  <c r="C298" i="3"/>
  <c r="B299" i="3"/>
  <c r="C299" i="3"/>
  <c r="B300" i="3"/>
  <c r="C300" i="3"/>
  <c r="B301" i="3"/>
  <c r="C301" i="3"/>
  <c r="B302" i="3"/>
  <c r="C302" i="3"/>
  <c r="B303" i="3"/>
  <c r="C303" i="3"/>
  <c r="B304" i="3"/>
  <c r="C304" i="3"/>
  <c r="B305" i="3"/>
  <c r="C305" i="3"/>
  <c r="B306" i="3"/>
  <c r="C306" i="3"/>
  <c r="B307" i="3"/>
  <c r="C307" i="3"/>
  <c r="B308" i="3"/>
  <c r="C308" i="3"/>
  <c r="B309" i="3"/>
  <c r="C309" i="3"/>
  <c r="B310" i="3"/>
  <c r="C310" i="3"/>
  <c r="B311" i="3"/>
  <c r="C311" i="3"/>
  <c r="B312" i="3"/>
  <c r="C312" i="3"/>
  <c r="B313" i="3"/>
  <c r="C313" i="3"/>
  <c r="B314" i="3"/>
  <c r="C314" i="3"/>
  <c r="B315" i="3"/>
  <c r="C315" i="3"/>
  <c r="B316" i="3"/>
  <c r="C316" i="3"/>
  <c r="B317" i="3"/>
  <c r="C317" i="3"/>
  <c r="B318" i="3"/>
  <c r="C318" i="3"/>
  <c r="B319" i="3"/>
  <c r="C319" i="3"/>
  <c r="B320" i="3"/>
  <c r="C320" i="3"/>
  <c r="B321" i="3"/>
  <c r="C321" i="3"/>
  <c r="B322" i="3"/>
  <c r="C322" i="3"/>
  <c r="B323" i="3"/>
  <c r="C323" i="3"/>
  <c r="B324" i="3"/>
  <c r="C324" i="3"/>
  <c r="B325" i="3"/>
  <c r="C325" i="3"/>
  <c r="B326" i="3"/>
  <c r="C326" i="3"/>
  <c r="B327" i="3"/>
  <c r="C327" i="3"/>
  <c r="B328" i="3"/>
  <c r="C328" i="3"/>
  <c r="B329" i="3"/>
  <c r="C329" i="3"/>
  <c r="B330" i="3"/>
  <c r="C330" i="3"/>
  <c r="B331" i="3"/>
  <c r="C331" i="3"/>
  <c r="B332" i="3"/>
  <c r="C332" i="3"/>
  <c r="B333" i="3"/>
  <c r="C333" i="3"/>
  <c r="B334" i="3"/>
  <c r="C334" i="3"/>
  <c r="B335" i="3"/>
  <c r="C335" i="3"/>
  <c r="B336" i="3"/>
  <c r="C336" i="3"/>
  <c r="B337" i="3"/>
  <c r="C337" i="3"/>
  <c r="B338" i="3"/>
  <c r="C338" i="3"/>
  <c r="B339" i="3"/>
  <c r="C339" i="3"/>
  <c r="B340" i="3"/>
  <c r="C340" i="3"/>
  <c r="B341" i="3"/>
  <c r="C341" i="3"/>
  <c r="B342" i="3"/>
  <c r="C342" i="3"/>
  <c r="B343" i="3"/>
  <c r="C343" i="3"/>
  <c r="B344" i="3"/>
  <c r="C344" i="3"/>
  <c r="B345" i="3"/>
  <c r="C345" i="3"/>
  <c r="B346" i="3"/>
  <c r="C346" i="3"/>
  <c r="B347" i="3"/>
  <c r="C347" i="3"/>
  <c r="B348" i="3"/>
  <c r="C348" i="3"/>
  <c r="B349" i="3"/>
  <c r="C349" i="3"/>
  <c r="B350" i="3"/>
  <c r="C350" i="3"/>
  <c r="B351" i="3"/>
  <c r="C351" i="3"/>
  <c r="B352" i="3"/>
  <c r="C352" i="3"/>
  <c r="B353" i="3"/>
  <c r="C353" i="3"/>
  <c r="B354" i="3"/>
  <c r="C354" i="3"/>
  <c r="B355" i="3"/>
  <c r="C355" i="3"/>
  <c r="B356" i="3"/>
  <c r="C356" i="3"/>
  <c r="B357" i="3"/>
  <c r="C357" i="3"/>
  <c r="B358" i="3"/>
  <c r="C358" i="3"/>
  <c r="B359" i="3"/>
  <c r="C359" i="3"/>
  <c r="B360" i="3"/>
  <c r="C360" i="3"/>
  <c r="B361" i="3"/>
  <c r="C361" i="3"/>
  <c r="B362" i="3"/>
  <c r="C362" i="3"/>
  <c r="B363" i="3"/>
  <c r="C363" i="3"/>
  <c r="B364" i="3"/>
  <c r="C364" i="3"/>
  <c r="B365" i="3"/>
  <c r="C365" i="3"/>
  <c r="B366" i="3"/>
  <c r="C366" i="3"/>
  <c r="B367" i="3"/>
  <c r="C367" i="3"/>
  <c r="B368" i="3"/>
  <c r="C368" i="3"/>
  <c r="B369" i="3"/>
  <c r="C369" i="3"/>
  <c r="B370" i="3"/>
  <c r="C370" i="3"/>
  <c r="B371" i="3"/>
  <c r="C371" i="3"/>
  <c r="B372" i="3"/>
  <c r="C372" i="3"/>
  <c r="B373" i="3"/>
  <c r="C373" i="3"/>
  <c r="B374" i="3"/>
  <c r="C374" i="3"/>
  <c r="B375" i="3"/>
  <c r="C375" i="3"/>
  <c r="B376" i="3"/>
  <c r="C376" i="3"/>
  <c r="B377" i="3"/>
  <c r="C377" i="3"/>
  <c r="B378" i="3"/>
  <c r="C378" i="3"/>
  <c r="B379" i="3"/>
  <c r="C379" i="3"/>
  <c r="B380" i="3"/>
  <c r="C380" i="3"/>
  <c r="B381" i="3"/>
  <c r="C381" i="3"/>
  <c r="B382" i="3"/>
  <c r="C382" i="3"/>
  <c r="B4" i="12"/>
  <c r="C4" i="12"/>
  <c r="B5" i="12"/>
  <c r="C5" i="12"/>
  <c r="B4" i="14"/>
  <c r="C4" i="14"/>
  <c r="B5" i="14"/>
  <c r="C5" i="14"/>
  <c r="B6" i="14"/>
  <c r="C6" i="14"/>
  <c r="B7" i="14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4" authorId="0" shapeId="0" xr:uid="{DE509BBA-533C-4567-9B04-09B2966A774E}">
      <text>
        <r>
          <rPr>
            <b/>
            <sz val="9"/>
            <color indexed="81"/>
            <rFont val="Tahoma"/>
            <family val="2"/>
          </rPr>
          <t xml:space="preserve">EQ: Online Feeder Lodaing
</t>
        </r>
        <r>
          <rPr>
            <sz val="9"/>
            <color indexed="81"/>
            <rFont val="Tahoma"/>
            <family val="2"/>
          </rPr>
          <t>RS00A 005526  OFFLINE LOADING JIG</t>
        </r>
      </text>
    </comment>
    <comment ref="D5" authorId="0" shapeId="0" xr:uid="{4C6F06F1-5C54-4047-B288-7DCA18949B06}">
      <text>
        <r>
          <rPr>
            <b/>
            <sz val="9"/>
            <color indexed="81"/>
            <rFont val="Tahoma"/>
            <family val="2"/>
          </rPr>
          <t xml:space="preserve">EQ: Online Feeder Lodaing
</t>
        </r>
        <r>
          <rPr>
            <sz val="9"/>
            <color indexed="81"/>
            <rFont val="Tahoma"/>
            <family val="2"/>
          </rPr>
          <t>RS00A 009051  OFFLINE LOADING JIG</t>
        </r>
      </text>
    </comment>
    <comment ref="D6" authorId="0" shapeId="0" xr:uid="{1B283FBE-A26B-4C6F-A258-EA4AF0BF697D}">
      <text>
        <r>
          <rPr>
            <b/>
            <sz val="9"/>
            <color indexed="81"/>
            <rFont val="Tahoma"/>
            <family val="2"/>
          </rPr>
          <t xml:space="preserve">EQ: Online Feeder Lodaing
</t>
        </r>
        <r>
          <rPr>
            <sz val="9"/>
            <color indexed="81"/>
            <rFont val="Tahoma"/>
            <family val="2"/>
          </rPr>
          <t>RS00A 009054  OFFLINE LOADING JIG</t>
        </r>
      </text>
    </comment>
    <comment ref="D7" authorId="0" shapeId="0" xr:uid="{00000000-0006-0000-0D00-000001000000}">
      <text>
        <r>
          <rPr>
            <b/>
            <sz val="9"/>
            <color indexed="81"/>
            <rFont val="Tahoma"/>
            <charset val="1"/>
          </rPr>
          <t>EQ: Online Feeder Lodaing</t>
        </r>
        <r>
          <rPr>
            <sz val="9"/>
            <color indexed="81"/>
            <rFont val="Tahoma"/>
            <charset val="1"/>
          </rPr>
          <t xml:space="preserve">
JP003166-1          19-210316           17-06-0093</t>
        </r>
      </text>
    </comment>
    <comment ref="D8" authorId="0" shapeId="0" xr:uid="{00000000-0006-0000-0D00-000002000000}">
      <text>
        <r>
          <rPr>
            <b/>
            <sz val="9"/>
            <color indexed="81"/>
            <rFont val="Tahoma"/>
            <charset val="1"/>
          </rPr>
          <t xml:space="preserve">EQ: OnLine Feeder Lodaing
21-04-0053 </t>
        </r>
      </text>
    </comment>
  </commentList>
</comments>
</file>

<file path=xl/sharedStrings.xml><?xml version="1.0" encoding="utf-8"?>
<sst xmlns="http://schemas.openxmlformats.org/spreadsheetml/2006/main" count="1302" uniqueCount="579">
  <si>
    <t>Feeder List</t>
  </si>
  <si>
    <t>8mm</t>
  </si>
  <si>
    <t>12mm</t>
  </si>
  <si>
    <t>16mm</t>
  </si>
  <si>
    <t>24mm</t>
  </si>
  <si>
    <t>32mm</t>
  </si>
  <si>
    <t>44mm</t>
  </si>
  <si>
    <t>56mm</t>
  </si>
  <si>
    <t>88mm</t>
  </si>
  <si>
    <t>In Line List</t>
  </si>
  <si>
    <t>Inventory</t>
  </si>
  <si>
    <t>total</t>
  </si>
  <si>
    <t>Requirement</t>
  </si>
  <si>
    <t>Column1</t>
  </si>
  <si>
    <t>KT8FL F84746</t>
  </si>
  <si>
    <t>KT8FL E06406</t>
  </si>
  <si>
    <t xml:space="preserve">Date </t>
  </si>
  <si>
    <t>KT8FL E48185</t>
  </si>
  <si>
    <t>KT8FL 515072</t>
  </si>
  <si>
    <t>KT8FL 515100</t>
  </si>
  <si>
    <t>KT8FL E06552</t>
  </si>
  <si>
    <t>KT8FL E48021</t>
  </si>
  <si>
    <t>KT8FL E48149</t>
  </si>
  <si>
    <t>Feeder Count</t>
  </si>
  <si>
    <t>S.no</t>
  </si>
  <si>
    <t>Feeder Serial no</t>
  </si>
  <si>
    <t>KDE-3200-003160</t>
  </si>
  <si>
    <t>KT8FL 515136</t>
  </si>
  <si>
    <t>KT8FL F96918</t>
  </si>
  <si>
    <t>KT8FL 515041</t>
  </si>
  <si>
    <t>KT8FL F84742</t>
  </si>
  <si>
    <t>KT8FL 515094</t>
  </si>
  <si>
    <t>KT8FL E06459</t>
  </si>
  <si>
    <t>KT8FL 515064</t>
  </si>
  <si>
    <t>KT8FL E06409</t>
  </si>
  <si>
    <t>KT8FL 515158</t>
  </si>
  <si>
    <t>KT8FL 515148</t>
  </si>
  <si>
    <t>KT8FL G00067</t>
  </si>
  <si>
    <t>KT8FL 515034</t>
  </si>
  <si>
    <t>KT8FL 515103</t>
  </si>
  <si>
    <t>KT8FL E06446</t>
  </si>
  <si>
    <t>KT8FL 515102</t>
  </si>
  <si>
    <t>KT8FL 515048</t>
  </si>
  <si>
    <t>KT8FL 515144</t>
  </si>
  <si>
    <t>KT8FL E48036</t>
  </si>
  <si>
    <t>KT8FL E48035</t>
  </si>
  <si>
    <t>KT8FL F84741</t>
  </si>
  <si>
    <t>KT8FL F96978</t>
  </si>
  <si>
    <t>KT8FL E06582</t>
  </si>
  <si>
    <t>KT8FL E48029</t>
  </si>
  <si>
    <t>KT8FL E48038</t>
  </si>
  <si>
    <t>KT8FL E06460</t>
  </si>
  <si>
    <t>KT8FL E48030</t>
  </si>
  <si>
    <t>KT8FL 515092</t>
  </si>
  <si>
    <t>KT8FL E48179</t>
  </si>
  <si>
    <t>KT8FL 515059</t>
  </si>
  <si>
    <t>KT8FL E48155</t>
  </si>
  <si>
    <t>KT8FL F84671</t>
  </si>
  <si>
    <t>KT8FL F96975</t>
  </si>
  <si>
    <t>KT8FL E06410</t>
  </si>
  <si>
    <t>KT8FL F84748</t>
  </si>
  <si>
    <t>KT8FL E48025</t>
  </si>
  <si>
    <t>KT8FL E33363</t>
  </si>
  <si>
    <t>KT8FL G00197</t>
  </si>
  <si>
    <t>KT8FL 515074</t>
  </si>
  <si>
    <t>KT8FL E48022</t>
  </si>
  <si>
    <t>KT8FL E48016</t>
  </si>
  <si>
    <t>KT8FL F96691</t>
  </si>
  <si>
    <t>KT8FL F84725</t>
  </si>
  <si>
    <t>KT8FL E06562</t>
  </si>
  <si>
    <t>KT8FL 515143</t>
  </si>
  <si>
    <t>KT8FL E48039</t>
  </si>
  <si>
    <t>KT8FL F84678</t>
  </si>
  <si>
    <t>KT8FL E06554</t>
  </si>
  <si>
    <t>KT8FL F84676</t>
  </si>
  <si>
    <t>KT8FL E06558</t>
  </si>
  <si>
    <t>KT8FL E48184</t>
  </si>
  <si>
    <t>KT8FL E06408</t>
  </si>
  <si>
    <t>KT8FL E06450</t>
  </si>
  <si>
    <t>KT8FL E48017</t>
  </si>
  <si>
    <t>KT8FL F96877</t>
  </si>
  <si>
    <t>KT8FL 515067</t>
  </si>
  <si>
    <t>KT8FL 515166</t>
  </si>
  <si>
    <t>KT8FL F84672</t>
  </si>
  <si>
    <t>KT8FL E48146</t>
  </si>
  <si>
    <t>KT8FL F96697</t>
  </si>
  <si>
    <t>KT8FL F84679</t>
  </si>
  <si>
    <t>KT8FL 515191</t>
  </si>
  <si>
    <t>KT8FL E33364</t>
  </si>
  <si>
    <t>KT8FL E48182</t>
  </si>
  <si>
    <t>KT8FL E06407</t>
  </si>
  <si>
    <t>KT8FL E06448</t>
  </si>
  <si>
    <t>KT8FL E06452</t>
  </si>
  <si>
    <t>KT8FL G00072</t>
  </si>
  <si>
    <t>KT8FL E48168</t>
  </si>
  <si>
    <t>KT8FL 515038</t>
  </si>
  <si>
    <t>KT8FL 515052</t>
  </si>
  <si>
    <t>KT8FL E33356</t>
  </si>
  <si>
    <t>KT8FL E06560</t>
  </si>
  <si>
    <t>KT8FL E48023</t>
  </si>
  <si>
    <t>KT8FL 515055</t>
  </si>
  <si>
    <t>KT8FL 515163</t>
  </si>
  <si>
    <t>KT8FL 515069</t>
  </si>
  <si>
    <t>KT8FL 515182</t>
  </si>
  <si>
    <t>KT8FL 515142</t>
  </si>
  <si>
    <t>KT8FL 515141</t>
  </si>
  <si>
    <t>KT8FL 515194</t>
  </si>
  <si>
    <t>KT8FL 515095</t>
  </si>
  <si>
    <t>KT8FL 505755</t>
  </si>
  <si>
    <t>KT8FL 515097</t>
  </si>
  <si>
    <t>KT8FL 515167</t>
  </si>
  <si>
    <t>KT8FL 515096</t>
  </si>
  <si>
    <t>KT8FL 515176</t>
  </si>
  <si>
    <t>KT8FL 515061</t>
  </si>
  <si>
    <t>KT8FL 515154</t>
  </si>
  <si>
    <t>KT8FL 515138</t>
  </si>
  <si>
    <t>KT8FL 515151</t>
  </si>
  <si>
    <t>KT8FL 515058</t>
  </si>
  <si>
    <t>KT8FL 515073</t>
  </si>
  <si>
    <t>KT8BL 291194</t>
  </si>
  <si>
    <t>KT8BL 515257</t>
  </si>
  <si>
    <t>KT8FL 515190</t>
  </si>
  <si>
    <t>KT8FL E06537</t>
  </si>
  <si>
    <t>KT8FL 505754</t>
  </si>
  <si>
    <t>KT8FL E33231</t>
  </si>
  <si>
    <t>KT8FL E06463</t>
  </si>
  <si>
    <t>KT8FL G00064</t>
  </si>
  <si>
    <t>KT8FL E48032</t>
  </si>
  <si>
    <t>KT8FL 515171</t>
  </si>
  <si>
    <t>KT8FL G00065</t>
  </si>
  <si>
    <t>KT8FL 515169</t>
  </si>
  <si>
    <t>KT8FL G00074</t>
  </si>
  <si>
    <t>KT8FL G00200</t>
  </si>
  <si>
    <t>KT8FL F96979</t>
  </si>
  <si>
    <t>KT8FL F96878</t>
  </si>
  <si>
    <t>KT8FL F96700</t>
  </si>
  <si>
    <t>KT8FL 515165</t>
  </si>
  <si>
    <t>KT8FL 515049</t>
  </si>
  <si>
    <t>KT8FL 515156</t>
  </si>
  <si>
    <t>KT8FL E06559</t>
  </si>
  <si>
    <t>KT8FL E33288</t>
  </si>
  <si>
    <t>KT8FL E48173</t>
  </si>
  <si>
    <t>KT8FL 515060</t>
  </si>
  <si>
    <t>KT8FL E33359</t>
  </si>
  <si>
    <t>KT8FL E06447</t>
  </si>
  <si>
    <t>KT8FL 515183</t>
  </si>
  <si>
    <t>KT8FL F96699</t>
  </si>
  <si>
    <t>KT8FL G00196</t>
  </si>
  <si>
    <t>KT8FL 515162</t>
  </si>
  <si>
    <t>KT8FL E06541</t>
  </si>
  <si>
    <t>KT8FL F84673</t>
  </si>
  <si>
    <t>KT8FL F96879</t>
  </si>
  <si>
    <t>KT8FL E25975</t>
  </si>
  <si>
    <t>KT8FL E06502</t>
  </si>
  <si>
    <t>KT8FL F84721</t>
  </si>
  <si>
    <t>KT8FL E48181</t>
  </si>
  <si>
    <t>KT8FL F84675</t>
  </si>
  <si>
    <t>KT8FL 515160</t>
  </si>
  <si>
    <t>KT8FL E48150</t>
  </si>
  <si>
    <t>KT8FL F96919</t>
  </si>
  <si>
    <t>KT8FL E48026</t>
  </si>
  <si>
    <t>KT8FL E06451</t>
  </si>
  <si>
    <t>KT8FL E48178</t>
  </si>
  <si>
    <t>KT8FL E48147</t>
  </si>
  <si>
    <t>KT8FL E48176</t>
  </si>
  <si>
    <t>KT8FL F84677</t>
  </si>
  <si>
    <t>KT8FL E48156</t>
  </si>
  <si>
    <t>KT8FL 515149</t>
  </si>
  <si>
    <t>KT8FL 515188</t>
  </si>
  <si>
    <t>KT8FL 515140</t>
  </si>
  <si>
    <t>KT8FL E33360</t>
  </si>
  <si>
    <t>KT8FL 515075</t>
  </si>
  <si>
    <t>KT8FL 515044</t>
  </si>
  <si>
    <t>KT8FL 515065</t>
  </si>
  <si>
    <t>KT8FL E48037</t>
  </si>
  <si>
    <t>KT8FL 515045</t>
  </si>
  <si>
    <t>KT8FL 515053</t>
  </si>
  <si>
    <t>KT8FL E48157</t>
  </si>
  <si>
    <t>KT8FL E06449</t>
  </si>
  <si>
    <t>KT8FL E06565</t>
  </si>
  <si>
    <t>KT8FL E06404</t>
  </si>
  <si>
    <t>KT8FL F84722</t>
  </si>
  <si>
    <t>KT8FL E48177</t>
  </si>
  <si>
    <t>KT8FL 515070</t>
  </si>
  <si>
    <t>KT8FL G00066</t>
  </si>
  <si>
    <t>KT8FL E06461</t>
  </si>
  <si>
    <t>KT8FL 515146</t>
  </si>
  <si>
    <t>KT8FL 515062</t>
  </si>
  <si>
    <t>KT8FL E06583</t>
  </si>
  <si>
    <t>KT8FL E06456</t>
  </si>
  <si>
    <t>KT8FL 515063</t>
  </si>
  <si>
    <t>KT8FL 515031</t>
  </si>
  <si>
    <t>KT8FL 515153</t>
  </si>
  <si>
    <t>KT8FL F96694</t>
  </si>
  <si>
    <t>KT8FL E06557</t>
  </si>
  <si>
    <t>KT8FL 515187</t>
  </si>
  <si>
    <t>KT8FL E33203</t>
  </si>
  <si>
    <t>KT8FL E48018</t>
  </si>
  <si>
    <t>KT8FL F84747</t>
  </si>
  <si>
    <t>KT8FL E48175</t>
  </si>
  <si>
    <t>KT8FL E48159</t>
  </si>
  <si>
    <t>KT8FL F84674</t>
  </si>
  <si>
    <t>KT8FL E06405</t>
  </si>
  <si>
    <t>KT8FL E48171</t>
  </si>
  <si>
    <t>KT8FL E06561</t>
  </si>
  <si>
    <t>KT8FL E33289</t>
  </si>
  <si>
    <t>KT8FL F96971</t>
  </si>
  <si>
    <t>KT8FL F84745</t>
  </si>
  <si>
    <t>KT8FL E33234</t>
  </si>
  <si>
    <t>KT8FL E06403</t>
  </si>
  <si>
    <t>KT8FL F96980</t>
  </si>
  <si>
    <t>KT8FL F84729</t>
  </si>
  <si>
    <t>KT8FL E33361</t>
  </si>
  <si>
    <t>KT8FL F96693</t>
  </si>
  <si>
    <t>KT8FL E06414</t>
  </si>
  <si>
    <t>KT8FL E06455</t>
  </si>
  <si>
    <t>KT8FL E06540</t>
  </si>
  <si>
    <t>KT8FL E06539</t>
  </si>
  <si>
    <t>KT8FL E06458</t>
  </si>
  <si>
    <t>KT8FL G00075</t>
  </si>
  <si>
    <t>KT8FL E06501</t>
  </si>
  <si>
    <t>KT8FL E06536</t>
  </si>
  <si>
    <t>KT8FL 515050</t>
  </si>
  <si>
    <t>KT8FL E48034</t>
  </si>
  <si>
    <t>KT8FL 515159</t>
  </si>
  <si>
    <t>KT8FL E48031</t>
  </si>
  <si>
    <t>KT8FL E48044</t>
  </si>
  <si>
    <t>KT8FL E06538</t>
  </si>
  <si>
    <t>KT8FL E48028</t>
  </si>
  <si>
    <t>KT8FL F84724</t>
  </si>
  <si>
    <t>KT8FL 515145</t>
  </si>
  <si>
    <t>KT8FL 515174</t>
  </si>
  <si>
    <t>KT8FL 515035</t>
  </si>
  <si>
    <t>KT8FL 515173</t>
  </si>
  <si>
    <t>KT8FL E06553</t>
  </si>
  <si>
    <t>KT8FL E48014</t>
  </si>
  <si>
    <t>KT8BL 297876</t>
  </si>
  <si>
    <t>KT8BL 291032</t>
  </si>
  <si>
    <t>KT8BL 291186</t>
  </si>
  <si>
    <t>KT8BE 072701</t>
  </si>
  <si>
    <t>KT8FL 515155</t>
  </si>
  <si>
    <t>KT8FL E48174</t>
  </si>
  <si>
    <t>KT8FL F84727</t>
  </si>
  <si>
    <t>KT8FL F84680</t>
  </si>
  <si>
    <t>KT8FL E06462</t>
  </si>
  <si>
    <t>KT8FL F96880</t>
  </si>
  <si>
    <t>KT8FL F96972</t>
  </si>
  <si>
    <t>KT8FL E06555</t>
  </si>
  <si>
    <t>KT8FL F84744</t>
  </si>
  <si>
    <t>KT8FL 515039</t>
  </si>
  <si>
    <t>KT8FL E48043</t>
  </si>
  <si>
    <t>KT8FL E06503</t>
  </si>
  <si>
    <t>KT8FL E06457</t>
  </si>
  <si>
    <t>KT8FL G00061</t>
  </si>
  <si>
    <t>KT8FL E33232</t>
  </si>
  <si>
    <t>KT8FL 515184</t>
  </si>
  <si>
    <t>KT8FL G00198</t>
  </si>
  <si>
    <t>KT8FL E25972</t>
  </si>
  <si>
    <t>KT8FL 515206</t>
  </si>
  <si>
    <t>KT8FL 515172</t>
  </si>
  <si>
    <t>KT8FL F84749</t>
  </si>
  <si>
    <t>KT8FL 515185</t>
  </si>
  <si>
    <t>KT8FL 515033</t>
  </si>
  <si>
    <t>KT8FL 515104</t>
  </si>
  <si>
    <t>KT8FL E06413</t>
  </si>
  <si>
    <t>KT8FL 515040</t>
  </si>
  <si>
    <t>KT8FL 508881</t>
  </si>
  <si>
    <t>KT8FL E33204</t>
  </si>
  <si>
    <t>KT8FL E06402</t>
  </si>
  <si>
    <t>KT8FL E33286</t>
  </si>
  <si>
    <t>KT8FL F96876</t>
  </si>
  <si>
    <t>KT8FL 515150</t>
  </si>
  <si>
    <t>KT8FL E48172</t>
  </si>
  <si>
    <t>KT8FL E48024</t>
  </si>
  <si>
    <t>KT8FL E06465</t>
  </si>
  <si>
    <t>KT8FL E06401</t>
  </si>
  <si>
    <t>KT8FL G00069</t>
  </si>
  <si>
    <t>KT8FL F84723</t>
  </si>
  <si>
    <t>KT8FL 515189</t>
  </si>
  <si>
    <t>KT8FL E06453</t>
  </si>
  <si>
    <t>KT8FL E48015</t>
  </si>
  <si>
    <t>KT8FL E06411</t>
  </si>
  <si>
    <t>KT8FL E48027</t>
  </si>
  <si>
    <t>KT8FL E48019</t>
  </si>
  <si>
    <t>KT8FL 515047</t>
  </si>
  <si>
    <t>KT8FL E33205</t>
  </si>
  <si>
    <t>KT8FL E06543</t>
  </si>
  <si>
    <t>KT8FL E06551</t>
  </si>
  <si>
    <t>KT8FL E06464</t>
  </si>
  <si>
    <t>KT8FL E25971</t>
  </si>
  <si>
    <t>KT8FL F84726</t>
  </si>
  <si>
    <t>KT8FL E48167</t>
  </si>
  <si>
    <t>KT8FL G00063</t>
  </si>
  <si>
    <t>KT8FL F96695</t>
  </si>
  <si>
    <t>KT8FL F96692</t>
  </si>
  <si>
    <t>KT8FL E06564</t>
  </si>
  <si>
    <t>KT8FL E33202</t>
  </si>
  <si>
    <t>KT8FL 515036</t>
  </si>
  <si>
    <t>KT8FL E06504</t>
  </si>
  <si>
    <t>KT8FL E06563</t>
  </si>
  <si>
    <t>KT8FL 515043</t>
  </si>
  <si>
    <t>KT8FL E06415</t>
  </si>
  <si>
    <t>KT8FL 505753</t>
  </si>
  <si>
    <t>KT8FL E06454</t>
  </si>
  <si>
    <t>KT8FL 515068</t>
  </si>
  <si>
    <t>KT8FL 515178</t>
  </si>
  <si>
    <t>KT8FL 515181</t>
  </si>
  <si>
    <t>KT8FL 515170</t>
  </si>
  <si>
    <t>KT8FL 515093</t>
  </si>
  <si>
    <t>KT8FL 515147</t>
  </si>
  <si>
    <t>KT8FL F84730</t>
  </si>
  <si>
    <t>KT8FL E48013</t>
  </si>
  <si>
    <t>KT8FL F84750</t>
  </si>
  <si>
    <t>KT8FL E25973</t>
  </si>
  <si>
    <t>KT8FL F96917</t>
  </si>
  <si>
    <t>KT8FL E48033</t>
  </si>
  <si>
    <t>KT8FL E06412</t>
  </si>
  <si>
    <t>KT8FL E48042</t>
  </si>
  <si>
    <t>KT8FL E33357</t>
  </si>
  <si>
    <t>KT8FL 515179</t>
  </si>
  <si>
    <t>KT8FL F96976</t>
  </si>
  <si>
    <t>KT8FL G00062</t>
  </si>
  <si>
    <t>KT8FL E48169</t>
  </si>
  <si>
    <t>KT8FL F84743</t>
  </si>
  <si>
    <t>KT8FL 515186</t>
  </si>
  <si>
    <t>KT8FL 515180</t>
  </si>
  <si>
    <t>KT8FL 515164</t>
  </si>
  <si>
    <t>KT8FL 515051</t>
  </si>
  <si>
    <t>KT8FL 515046</t>
  </si>
  <si>
    <t>KT8FL E33358</t>
  </si>
  <si>
    <t>KT8FL 515105</t>
  </si>
  <si>
    <t>KT8FL 515057</t>
  </si>
  <si>
    <t>KT8FL E06544</t>
  </si>
  <si>
    <t>KT8FL F96696</t>
  </si>
  <si>
    <t>KT8FL 515139</t>
  </si>
  <si>
    <t>KT8FL 515175</t>
  </si>
  <si>
    <t>KT8FL 515192</t>
  </si>
  <si>
    <t>KT8FL 515157</t>
  </si>
  <si>
    <t>KT8FL 515056</t>
  </si>
  <si>
    <t>KT8FL 515177</t>
  </si>
  <si>
    <t>KT8FL 515066</t>
  </si>
  <si>
    <t>KT8FL 515168</t>
  </si>
  <si>
    <t>KT8FL 515195</t>
  </si>
  <si>
    <t>KT8FL G00199</t>
  </si>
  <si>
    <t>KT8FL E48041</t>
  </si>
  <si>
    <t>KT8FL 515037</t>
  </si>
  <si>
    <t>KT8FL G00068</t>
  </si>
  <si>
    <t>KT8FL G00073</t>
  </si>
  <si>
    <t>KT8FL 515099</t>
  </si>
  <si>
    <t>KT8FL 515054</t>
  </si>
  <si>
    <t>KT8FL 515091</t>
  </si>
  <si>
    <t>KT8FL E06581</t>
  </si>
  <si>
    <t>KT8FL E48012</t>
  </si>
  <si>
    <t>KT8FL 515161</t>
  </si>
  <si>
    <t>KT8FL E48166</t>
  </si>
  <si>
    <t>KT8FL 515152</t>
  </si>
  <si>
    <t>KT8FL 515032</t>
  </si>
  <si>
    <t>KT8FL 515193</t>
  </si>
  <si>
    <t>KT8FL E06505</t>
  </si>
  <si>
    <t>KT8FL F96916</t>
  </si>
  <si>
    <t>KT8FL E48170</t>
  </si>
  <si>
    <t>KT8FL E06585</t>
  </si>
  <si>
    <t>KT8FL F96698</t>
  </si>
  <si>
    <t>KT8FL E33365</t>
  </si>
  <si>
    <t>KT8FL F96977</t>
  </si>
  <si>
    <t>KT8FL F84728</t>
  </si>
  <si>
    <t>KT8FL 515071</t>
  </si>
  <si>
    <t>KT8FL E48020</t>
  </si>
  <si>
    <t>KT8FL 515098</t>
  </si>
  <si>
    <t>KT8FL F96920</t>
  </si>
  <si>
    <t>KT8FL E48151</t>
  </si>
  <si>
    <t>KT8FL 515137</t>
  </si>
  <si>
    <t>KT8FL G00071</t>
  </si>
  <si>
    <t>KT8FL E33287</t>
  </si>
  <si>
    <t>KT8FL E48180</t>
  </si>
  <si>
    <t>KT8FL F96974</t>
  </si>
  <si>
    <t>KT8FL E25974</t>
  </si>
  <si>
    <t>KT8FL E48045</t>
  </si>
  <si>
    <t>KT8FL E48183</t>
  </si>
  <si>
    <t>KT8FL E48152</t>
  </si>
  <si>
    <t>KT8FL G00070</t>
  </si>
  <si>
    <t>KT8FL E48158</t>
  </si>
  <si>
    <t>KT8FL E48154</t>
  </si>
  <si>
    <t>KT8FL E48040</t>
  </si>
  <si>
    <t>KT8FL E06556</t>
  </si>
  <si>
    <t>KT8FL F96973</t>
  </si>
  <si>
    <t>KT8FL E48011</t>
  </si>
  <si>
    <t>KT8FL E48148</t>
  </si>
  <si>
    <t>KT8FL E33233</t>
  </si>
  <si>
    <t>KT8FL E48153</t>
  </si>
  <si>
    <t>KT8FL 515101</t>
  </si>
  <si>
    <t>KT8FL E48160</t>
  </si>
  <si>
    <t>KT8FL E06542</t>
  </si>
  <si>
    <t>KT8FL E06545</t>
  </si>
  <si>
    <t>KT8FL E33362</t>
  </si>
  <si>
    <t>KT8FL E06584</t>
  </si>
  <si>
    <t>KT8FL E33290</t>
  </si>
  <si>
    <t>KT12F 049586</t>
  </si>
  <si>
    <t>KT12F 049582</t>
  </si>
  <si>
    <t>Time</t>
  </si>
  <si>
    <t>KT12L 079332</t>
  </si>
  <si>
    <t>KT12F 148079</t>
  </si>
  <si>
    <t>KT12F 042233</t>
  </si>
  <si>
    <t>KT12F 146048</t>
  </si>
  <si>
    <t>KT12F 049583</t>
  </si>
  <si>
    <t>KT12F 042232</t>
  </si>
  <si>
    <t>KT12F 146050</t>
  </si>
  <si>
    <t>KT12F 131465</t>
  </si>
  <si>
    <t>KT12F 130593</t>
  </si>
  <si>
    <t>KT12F 094795</t>
  </si>
  <si>
    <t>KT12F 094794</t>
  </si>
  <si>
    <t>KT12F 148072</t>
  </si>
  <si>
    <t>KT12F 093621</t>
  </si>
  <si>
    <t>KT12F 146045</t>
  </si>
  <si>
    <t>KT12F 049585</t>
  </si>
  <si>
    <t>KT12F 049581</t>
  </si>
  <si>
    <t>KT12F 093602</t>
  </si>
  <si>
    <t>KT12F 049542</t>
  </si>
  <si>
    <t>KT12F 049584</t>
  </si>
  <si>
    <t>KT12F 049509</t>
  </si>
  <si>
    <t>KT12F 049550</t>
  </si>
  <si>
    <t>KT12F 146021</t>
  </si>
  <si>
    <t>KT12F 049506</t>
  </si>
  <si>
    <t>KT12F 049510</t>
  </si>
  <si>
    <t>KT12F 130591</t>
  </si>
  <si>
    <t>KT12F 146046</t>
  </si>
  <si>
    <t>KT12F 130588</t>
  </si>
  <si>
    <t>KT12F 148014</t>
  </si>
  <si>
    <t>KT12F 146044</t>
  </si>
  <si>
    <t>KT12F 130594</t>
  </si>
  <si>
    <t>KT12F 130592</t>
  </si>
  <si>
    <t>KT12F 130590</t>
  </si>
  <si>
    <t>KT12L 079331</t>
  </si>
  <si>
    <t>KT12F 049531</t>
  </si>
  <si>
    <t>KT12F 049508</t>
  </si>
  <si>
    <t>KT12F 093622</t>
  </si>
  <si>
    <t>KT12F 146047</t>
  </si>
  <si>
    <t>KT12F 049507</t>
  </si>
  <si>
    <t>KT12L 079361</t>
  </si>
  <si>
    <t>KT12F 146049</t>
  </si>
  <si>
    <t>KT12L 079317</t>
  </si>
  <si>
    <t>KT12L 079320</t>
  </si>
  <si>
    <t>KT12L 079333</t>
  </si>
  <si>
    <t>KT12L 079318</t>
  </si>
  <si>
    <t>KT12F 148073</t>
  </si>
  <si>
    <t>KT12F 148078</t>
  </si>
  <si>
    <t>KT12F 148077</t>
  </si>
  <si>
    <t>KT12F 093627</t>
  </si>
  <si>
    <t>KT12F 042234</t>
  </si>
  <si>
    <t>KT12L 079319</t>
  </si>
  <si>
    <t>KT16F 069785</t>
  </si>
  <si>
    <t>KT16F 069787</t>
  </si>
  <si>
    <t>KT16F 069786</t>
  </si>
  <si>
    <t>KT16F 069784</t>
  </si>
  <si>
    <t>KT16F 077661</t>
  </si>
  <si>
    <t>KT16F 077680</t>
  </si>
  <si>
    <t>KT16F 034853</t>
  </si>
  <si>
    <t>KT16F 069782</t>
  </si>
  <si>
    <t>KT16F 077679</t>
  </si>
  <si>
    <t>KT16F 077662</t>
  </si>
  <si>
    <t>KT16L 101392</t>
  </si>
  <si>
    <t>KT16F 069783</t>
  </si>
  <si>
    <t>KT16A 030426</t>
  </si>
  <si>
    <t>KT16F 069788</t>
  </si>
  <si>
    <t>KT16F 069579</t>
  </si>
  <si>
    <t>KT12F 049541</t>
  </si>
  <si>
    <t>KT12F 130589</t>
  </si>
  <si>
    <t>KT8FL 515042</t>
  </si>
  <si>
    <t>Date</t>
  </si>
  <si>
    <t>KT24L 100292</t>
  </si>
  <si>
    <t>KT24L 095247</t>
  </si>
  <si>
    <t>KT24L 095325</t>
  </si>
  <si>
    <t>KT24L 095248</t>
  </si>
  <si>
    <t>KT24L 100880</t>
  </si>
  <si>
    <t>KT24L 100891</t>
  </si>
  <si>
    <t>KT24L 100882</t>
  </si>
  <si>
    <t>KT24L 095324</t>
  </si>
  <si>
    <t>KT24L 100892</t>
  </si>
  <si>
    <t>KT24A 020705</t>
  </si>
  <si>
    <t>KT12F 148015</t>
  </si>
  <si>
    <t>KT32L 041656</t>
  </si>
  <si>
    <t>KT32L 041635</t>
  </si>
  <si>
    <t>KT32L 039627</t>
  </si>
  <si>
    <t>KT32L 039626</t>
  </si>
  <si>
    <t>KT32L 039628</t>
  </si>
  <si>
    <t>KT44L 030200</t>
  </si>
  <si>
    <t>KT44L 028635</t>
  </si>
  <si>
    <t>KT44L 024890</t>
  </si>
  <si>
    <t>KT44L 028634</t>
  </si>
  <si>
    <t>KT56L 013893</t>
  </si>
  <si>
    <t>KT88L 001643</t>
  </si>
  <si>
    <t>KT88L 001649</t>
  </si>
  <si>
    <t>KT44L 030228</t>
  </si>
  <si>
    <t>KTXAA 007966</t>
  </si>
  <si>
    <t>KTXAA 007968</t>
  </si>
  <si>
    <t>KTXAA 007970</t>
  </si>
  <si>
    <t>KTXAA 007967</t>
  </si>
  <si>
    <t>KTXAA 007969</t>
  </si>
  <si>
    <t>KTXAA 100101</t>
  </si>
  <si>
    <t>KTXAA 100102</t>
  </si>
  <si>
    <t>KTXAA 100103</t>
  </si>
  <si>
    <t>KTXAA 100104</t>
  </si>
  <si>
    <t>KTXAA 100105</t>
  </si>
  <si>
    <t>KDE-24V0-008592</t>
  </si>
  <si>
    <t>STP/FDR/12mm-05</t>
  </si>
  <si>
    <t>KDE-16V0-014449</t>
  </si>
  <si>
    <t>KDE-24V0-010885</t>
  </si>
  <si>
    <t>KDE-32V0-001291</t>
  </si>
  <si>
    <t>KDE-16V0-014447</t>
  </si>
  <si>
    <t>KDE-24V0-010953</t>
  </si>
  <si>
    <t>KDE-44V0-001700</t>
  </si>
  <si>
    <t>KDE-16V0-014444</t>
  </si>
  <si>
    <t>KDE-3200-003137</t>
  </si>
  <si>
    <t>KDE-16V0-014424</t>
  </si>
  <si>
    <t>STP/EQ/FRLD-083</t>
  </si>
  <si>
    <t>STP/EQ/FRLD-082</t>
  </si>
  <si>
    <t>UX04504</t>
  </si>
  <si>
    <t>VB</t>
  </si>
  <si>
    <t>NXT</t>
  </si>
  <si>
    <t>Aimex</t>
  </si>
  <si>
    <t>Changer Serial no</t>
  </si>
  <si>
    <t>ND36A 007317</t>
  </si>
  <si>
    <t>ND36A 007316</t>
  </si>
  <si>
    <t>NXT M1</t>
  </si>
  <si>
    <t>NXT M2</t>
  </si>
  <si>
    <t>NXT M3</t>
  </si>
  <si>
    <t>NXT M4</t>
  </si>
  <si>
    <t>NXT M5</t>
  </si>
  <si>
    <t>NXT M6</t>
  </si>
  <si>
    <t>ND36A 008739</t>
  </si>
  <si>
    <t>ND36A 008701</t>
  </si>
  <si>
    <t>ND32C 022562</t>
  </si>
  <si>
    <t>NC8LB 005060</t>
  </si>
  <si>
    <t>M3</t>
  </si>
  <si>
    <t>M6</t>
  </si>
  <si>
    <t>L1</t>
  </si>
  <si>
    <t>L3</t>
  </si>
  <si>
    <t>NA74A 014887</t>
  </si>
  <si>
    <t>NA74A 047654</t>
  </si>
  <si>
    <t>NA74A 047655</t>
  </si>
  <si>
    <t>NA74A 014888</t>
  </si>
  <si>
    <t>NE18A 012757</t>
  </si>
  <si>
    <t>NA74A 047656</t>
  </si>
  <si>
    <t>NA74A 042159</t>
  </si>
  <si>
    <t>NA74A 047653</t>
  </si>
  <si>
    <t>NA74A 042158</t>
  </si>
  <si>
    <t>NL30A 001786</t>
  </si>
  <si>
    <t>NC8LC 000535</t>
  </si>
  <si>
    <t>STP/EQ/FRLD-081</t>
  </si>
  <si>
    <t>UX04500</t>
  </si>
  <si>
    <t>AMX1 S1</t>
  </si>
  <si>
    <t>AMX2 S1</t>
  </si>
  <si>
    <t>AMX1 S2</t>
  </si>
  <si>
    <t>AMX2 S2</t>
  </si>
  <si>
    <t>AMX3 S1</t>
  </si>
  <si>
    <t>AMX3 S2</t>
  </si>
  <si>
    <t>Start Date</t>
  </si>
  <si>
    <t>Next due date</t>
  </si>
  <si>
    <t>Period</t>
  </si>
  <si>
    <t>Barcode Scan</t>
  </si>
  <si>
    <t>Status</t>
  </si>
  <si>
    <t>Remarks</t>
  </si>
  <si>
    <t>Feeder Preventive Maintenance</t>
  </si>
  <si>
    <t>VBA</t>
  </si>
  <si>
    <t>VBN</t>
  </si>
  <si>
    <t xml:space="preserve">Machine Changer </t>
  </si>
  <si>
    <t>L2</t>
  </si>
  <si>
    <t>AMX IIIC</t>
  </si>
  <si>
    <t>H24</t>
  </si>
  <si>
    <t>H12</t>
  </si>
  <si>
    <t>OK</t>
  </si>
  <si>
    <t>NG</t>
  </si>
  <si>
    <t>Spare</t>
  </si>
  <si>
    <t>Scrap</t>
  </si>
  <si>
    <t>S.No</t>
  </si>
  <si>
    <t>No Order</t>
  </si>
  <si>
    <t>Last No</t>
  </si>
  <si>
    <t>Series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</si>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</sst>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\.mm\.ss\ AM/PM"/>
  </numFmts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3" borderId="1" applyNumberFormat="0" applyAlignment="0" applyProtection="0"/>
  </cellStyleXfs>
  <cellXfs count="90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25" xfId="0" applyBorder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/>
    <xf numFmtId="0" fontId="0" fillId="0" borderId="10" xfId="0" applyBorder="1"/>
    <xf numFmtId="18" fontId="0" fillId="0" borderId="3" xfId="0" applyNumberFormat="1" applyBorder="1" applyAlignment="1">
      <alignment horizontal="center" vertical="center"/>
    </xf>
    <xf numFmtId="18" fontId="0" fillId="0" borderId="9" xfId="0" applyNumberFormat="1" applyBorder="1" applyAlignment="1">
      <alignment horizontal="center" vertical="center"/>
    </xf>
    <xf numFmtId="0" fontId="0" fillId="0" borderId="28" xfId="0" applyBorder="1"/>
    <xf numFmtId="0" fontId="0" fillId="0" borderId="2" xfId="0" applyBorder="1"/>
    <xf numFmtId="0" fontId="0" fillId="0" borderId="12" xfId="0" applyBorder="1"/>
    <xf numFmtId="0" fontId="0" fillId="0" borderId="23" xfId="0" applyBorder="1"/>
    <xf numFmtId="0" fontId="0" fillId="0" borderId="14" xfId="0" applyBorder="1"/>
    <xf numFmtId="0" fontId="0" fillId="0" borderId="24" xfId="0" applyBorder="1"/>
    <xf numFmtId="0" fontId="0" fillId="0" borderId="31" xfId="0" applyBorder="1"/>
    <xf numFmtId="0" fontId="9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5" xfId="2" applyBorder="1" applyAlignment="1">
      <alignment horizontal="center" vertical="center"/>
    </xf>
    <xf numFmtId="0" fontId="4" fillId="3" borderId="3" xfId="2" applyBorder="1" applyAlignment="1">
      <alignment horizontal="center" vertical="center"/>
    </xf>
    <xf numFmtId="0" fontId="7" fillId="2" borderId="5" xfId="1" applyFont="1" applyBorder="1" applyAlignment="1">
      <alignment horizontal="center" vertical="center"/>
    </xf>
    <xf numFmtId="0" fontId="7" fillId="2" borderId="3" xfId="1" applyFont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2" fontId="8" fillId="0" borderId="3" xfId="0" applyNumberFormat="1" applyFont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5" fillId="5" borderId="1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12" xfId="0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5" borderId="5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3">
    <cellStyle name="Calculation" xfId="2" builtinId="22"/>
    <cellStyle name="Neutral" xfId="1" builtinId="28"/>
    <cellStyle name="Normal" xfId="0" builtinId="0"/>
  </cellStyles>
  <dxfs count="1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13222F60-F91C-4739-BDB3-953438F694B1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88BA1819-9E8D-432F-A196-43F62E3D364B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FCF15D09-A1AA-43B7-84E4-1F9237036B4F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4370050-FCF0-4788-BCA8-01A30A3A4EE0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1F85A1F4-45D5-404F-9530-460B5F73D8EA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F7627858-E5CE-49F7-9546-3C5C9F88BEB8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F6877707-5BEA-4028-BDA4-022BB72B5D80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3" name="Rectangle 2">
          <a:extLst>
            <a:ext uri="{FF2B5EF4-FFF2-40B4-BE49-F238E27FC236}">
              <a16:creationId xmlns:a16="http://schemas.microsoft.com/office/drawing/2014/main" id="{3127C121-6550-4E77-8C12-5EDEA1CF7F91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9" name="Rectangle 8">
          <a:extLst>
            <a:ext uri="{FF2B5EF4-FFF2-40B4-BE49-F238E27FC236}">
              <a16:creationId xmlns:a16="http://schemas.microsoft.com/office/drawing/2014/main" id="{D3C98E35-1752-4883-ACA9-C7D66688EF76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0" name="Rectangle 9">
          <a:extLst>
            <a:ext uri="{FF2B5EF4-FFF2-40B4-BE49-F238E27FC236}">
              <a16:creationId xmlns:a16="http://schemas.microsoft.com/office/drawing/2014/main" id="{F4E2BDDC-49A2-4440-995D-90297FCFA4C9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7074D6-743F-4EF7-BCBB-652CF5BDFC89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12" name="Arrow: Chevron 11">
          <a:extLst>
            <a:ext uri="{FF2B5EF4-FFF2-40B4-BE49-F238E27FC236}">
              <a16:creationId xmlns:a16="http://schemas.microsoft.com/office/drawing/2014/main" id="{D5271B03-4D1C-427A-849C-F683A7945FA3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13" name="Arrow: Chevron 12">
          <a:extLst>
            <a:ext uri="{FF2B5EF4-FFF2-40B4-BE49-F238E27FC236}">
              <a16:creationId xmlns:a16="http://schemas.microsoft.com/office/drawing/2014/main" id="{C4B4E12E-2222-4E3F-9965-CCB6CACFC82A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1843491-1A9D-4EDF-AA8E-FC45BFC53661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37" name="Rectangle 36">
          <a:extLst>
            <a:ext uri="{FF2B5EF4-FFF2-40B4-BE49-F238E27FC236}">
              <a16:creationId xmlns:a16="http://schemas.microsoft.com/office/drawing/2014/main" id="{4E75257C-DFB3-4FFB-9573-9EF2A6A42021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38" name="Rectangle 37">
          <a:extLst>
            <a:ext uri="{FF2B5EF4-FFF2-40B4-BE49-F238E27FC236}">
              <a16:creationId xmlns:a16="http://schemas.microsoft.com/office/drawing/2014/main" id="{A80427A6-B20F-4EA4-AB4E-3ACF2A793483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39" name="Rectangle 38">
          <a:extLst>
            <a:ext uri="{FF2B5EF4-FFF2-40B4-BE49-F238E27FC236}">
              <a16:creationId xmlns:a16="http://schemas.microsoft.com/office/drawing/2014/main" id="{F81A159C-D53C-4A3A-A9C3-8ECE3F351934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99FEF6F1-92F9-4358-A8E7-BC52459A2F33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41" name="Arrow: Chevron 40">
          <a:extLst>
            <a:ext uri="{FF2B5EF4-FFF2-40B4-BE49-F238E27FC236}">
              <a16:creationId xmlns:a16="http://schemas.microsoft.com/office/drawing/2014/main" id="{8401CA73-7303-4E2F-8A3D-47679B1D4A97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42" name="Arrow: Chevron 41">
          <a:extLst>
            <a:ext uri="{FF2B5EF4-FFF2-40B4-BE49-F238E27FC236}">
              <a16:creationId xmlns:a16="http://schemas.microsoft.com/office/drawing/2014/main" id="{F3A6E9E9-0FA5-4DBF-B27B-84DDD892FAC7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F54EDD4-BF0D-4315-8B40-AC13C87DFDA8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6C182CC2-D101-40CE-8CAF-CF83189EC6B9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1280E461-D7EE-4E0A-8F46-16C888C98F61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B5A4E45D-B4D9-4784-9E87-8365A042810F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13E2B639-6B1A-4549-9A0C-994219468010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D490B2A6-E3DB-4BE0-9791-72D8E10329AB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130C28C6-75E6-49D0-828A-689BD56759B1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0B2AE85-D627-414A-BBF7-76A5E572A44C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9" name="Rectangle 8">
          <a:extLst>
            <a:ext uri="{FF2B5EF4-FFF2-40B4-BE49-F238E27FC236}">
              <a16:creationId xmlns:a16="http://schemas.microsoft.com/office/drawing/2014/main" id="{8C5F4C93-E085-40D3-8D4D-BCFD02EAFF71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0" name="Rectangle 9">
          <a:extLst>
            <a:ext uri="{FF2B5EF4-FFF2-40B4-BE49-F238E27FC236}">
              <a16:creationId xmlns:a16="http://schemas.microsoft.com/office/drawing/2014/main" id="{221F719F-D756-487D-B97D-BE2DD88EC359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1" name="Rectangle 10">
          <a:extLst>
            <a:ext uri="{FF2B5EF4-FFF2-40B4-BE49-F238E27FC236}">
              <a16:creationId xmlns:a16="http://schemas.microsoft.com/office/drawing/2014/main" id="{A5D9C106-FD31-41D1-A7B0-AB58752E09B5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120FAF9-B76B-49D4-A183-E03823E2568B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13" name="Arrow: Chevron 12">
          <a:extLst>
            <a:ext uri="{FF2B5EF4-FFF2-40B4-BE49-F238E27FC236}">
              <a16:creationId xmlns:a16="http://schemas.microsoft.com/office/drawing/2014/main" id="{622712EB-71B2-40EF-A137-B08022E166AC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14" name="Arrow: Chevron 13">
          <a:extLst>
            <a:ext uri="{FF2B5EF4-FFF2-40B4-BE49-F238E27FC236}">
              <a16:creationId xmlns:a16="http://schemas.microsoft.com/office/drawing/2014/main" id="{27AC9621-9031-47D2-A8EB-9225903C208A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8A089E9-8BF2-4E4B-96EC-A1191CEE6DEE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9" name="Rectangle 8">
          <a:extLst>
            <a:ext uri="{FF2B5EF4-FFF2-40B4-BE49-F238E27FC236}">
              <a16:creationId xmlns:a16="http://schemas.microsoft.com/office/drawing/2014/main" id="{31D5C1B7-9178-49A3-A73F-490C8EC32469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0" name="Rectangle 9">
          <a:extLst>
            <a:ext uri="{FF2B5EF4-FFF2-40B4-BE49-F238E27FC236}">
              <a16:creationId xmlns:a16="http://schemas.microsoft.com/office/drawing/2014/main" id="{C340B10F-FE9F-4125-A3F3-8A3681713955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1" name="Rectangle 10">
          <a:extLst>
            <a:ext uri="{FF2B5EF4-FFF2-40B4-BE49-F238E27FC236}">
              <a16:creationId xmlns:a16="http://schemas.microsoft.com/office/drawing/2014/main" id="{08B1CE7E-E63A-4EC4-8412-FF241C3DA89F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35B7B1B1-B420-4140-9026-73CEDAD910AC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13" name="Arrow: Chevron 12">
          <a:extLst>
            <a:ext uri="{FF2B5EF4-FFF2-40B4-BE49-F238E27FC236}">
              <a16:creationId xmlns:a16="http://schemas.microsoft.com/office/drawing/2014/main" id="{8610F3DD-CD4F-43FA-8E6D-82F0749096A8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14" name="Arrow: Chevron 13">
          <a:extLst>
            <a:ext uri="{FF2B5EF4-FFF2-40B4-BE49-F238E27FC236}">
              <a16:creationId xmlns:a16="http://schemas.microsoft.com/office/drawing/2014/main" id="{135B96F0-4233-4774-B3B4-183923921ACB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390A94B3-939E-4B6F-B509-B6E35DD11A40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2" name="Rectangle 1">
          <a:extLst>
            <a:ext uri="{FF2B5EF4-FFF2-40B4-BE49-F238E27FC236}">
              <a16:creationId xmlns:a16="http://schemas.microsoft.com/office/drawing/2014/main" id="{BFDAB735-15CB-4341-B9FF-19C6692EA0DC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8271BECA-72D0-41B8-838C-F7BE3024AB4C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4" name="Rectangle 3">
          <a:extLst>
            <a:ext uri="{FF2B5EF4-FFF2-40B4-BE49-F238E27FC236}">
              <a16:creationId xmlns:a16="http://schemas.microsoft.com/office/drawing/2014/main" id="{B19973B8-8D80-4BE4-AA33-7CE6E8F4F7DA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0A85676-C2E9-42B9-B5C5-8F222A091470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6" name="Arrow: Chevron 5">
          <a:extLst>
            <a:ext uri="{FF2B5EF4-FFF2-40B4-BE49-F238E27FC236}">
              <a16:creationId xmlns:a16="http://schemas.microsoft.com/office/drawing/2014/main" id="{339E81E8-66BF-4D03-875E-3D816F3A9CDA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7" name="Arrow: Chevron 6">
          <a:extLst>
            <a:ext uri="{FF2B5EF4-FFF2-40B4-BE49-F238E27FC236}">
              <a16:creationId xmlns:a16="http://schemas.microsoft.com/office/drawing/2014/main" id="{F0439849-6481-4623-8A2E-4797C4A6933A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CA02F35B-CE12-4B09-AC22-0B8EF6D89AE4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B732DD06-666F-4CDB-8563-5D45D0E51096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145E6E2C-50F2-482C-B1EA-01652DD2EDEE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46CF682E-E7C5-44C5-900E-3DAB03B3C2B0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5E293DE-3CCA-4317-B425-9782F6569407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B8EC8B14-ACA0-41E5-999D-12B5D6F37039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559D2B9D-4956-41E9-8642-1255AC2587A7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9D2437D9-0BCF-470F-B42E-9D2EEBED9945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95ED2579-A5CF-44EC-A217-56185FFEA301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2B93DEBF-B2BA-48ED-BE68-703BBB897107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AA675C33-FDB1-47EB-B1C2-D671071F188D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2CF22B94-CAE9-4DD8-8F0A-02B4D5059871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44C993C0-D36C-4995-9D9B-0E7C0B00FC00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94258A9D-43E6-440B-9D73-B076AD6C4362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EC30C3F-B025-4274-A5AF-CFA10C3BE88B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23" name="Rectangle 22">
          <a:extLst>
            <a:ext uri="{FF2B5EF4-FFF2-40B4-BE49-F238E27FC236}">
              <a16:creationId xmlns:a16="http://schemas.microsoft.com/office/drawing/2014/main" id="{30F8EC56-767D-4C04-940C-5D352B884C6B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24" name="Rectangle 23">
          <a:extLst>
            <a:ext uri="{FF2B5EF4-FFF2-40B4-BE49-F238E27FC236}">
              <a16:creationId xmlns:a16="http://schemas.microsoft.com/office/drawing/2014/main" id="{E6B6162B-7F1F-47FA-90AF-0941B8F958E1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25" name="Rectangle 24">
          <a:extLst>
            <a:ext uri="{FF2B5EF4-FFF2-40B4-BE49-F238E27FC236}">
              <a16:creationId xmlns:a16="http://schemas.microsoft.com/office/drawing/2014/main" id="{A21BA734-3E3A-44C7-8DFC-D83DC2247531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5B4357B-A1E7-42AF-A9F1-EAE428B5654E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7" name="Arrow: Chevron 26">
          <a:extLst>
            <a:ext uri="{FF2B5EF4-FFF2-40B4-BE49-F238E27FC236}">
              <a16:creationId xmlns:a16="http://schemas.microsoft.com/office/drawing/2014/main" id="{5C71287D-68BC-408D-B9A7-4532139751AE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8" name="Arrow: Chevron 27">
          <a:extLst>
            <a:ext uri="{FF2B5EF4-FFF2-40B4-BE49-F238E27FC236}">
              <a16:creationId xmlns:a16="http://schemas.microsoft.com/office/drawing/2014/main" id="{9CA5F858-9BC3-4600-A3F9-C688876384A8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72FA38B-A824-461F-9A43-1C801D97C899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31093F13-AEE4-4729-A327-3713F57B0A5E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157F314B-FC11-43C8-89ED-10F7463001A1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B308D985-80CF-4F9D-99F4-54EA65458616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0297283-A151-474A-BF75-590D3FD94C12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C8EE68FD-1307-4008-8109-98CC7581DA0F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874082CF-8E3C-48D4-B46D-EACC275487C6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3449F20-007B-46EE-92CA-5CD7C976C918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23" name="Rectangle 22">
          <a:extLst>
            <a:ext uri="{FF2B5EF4-FFF2-40B4-BE49-F238E27FC236}">
              <a16:creationId xmlns:a16="http://schemas.microsoft.com/office/drawing/2014/main" id="{6C693208-67F5-46AD-8407-8BBCAF030A82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24" name="Rectangle 23">
          <a:extLst>
            <a:ext uri="{FF2B5EF4-FFF2-40B4-BE49-F238E27FC236}">
              <a16:creationId xmlns:a16="http://schemas.microsoft.com/office/drawing/2014/main" id="{461AB051-AF5A-4F10-A541-57373BA6FC77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25" name="Rectangle 24">
          <a:extLst>
            <a:ext uri="{FF2B5EF4-FFF2-40B4-BE49-F238E27FC236}">
              <a16:creationId xmlns:a16="http://schemas.microsoft.com/office/drawing/2014/main" id="{BAC66F7D-45E7-45F2-8B76-99AEF4FEF3A4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D0777051-3DAF-4864-8F11-F5F31B30A004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7" name="Arrow: Chevron 26">
          <a:extLst>
            <a:ext uri="{FF2B5EF4-FFF2-40B4-BE49-F238E27FC236}">
              <a16:creationId xmlns:a16="http://schemas.microsoft.com/office/drawing/2014/main" id="{FF5F4ACD-EC5D-4CA4-8E2C-B092EFF2A8F2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8" name="Arrow: Chevron 27">
          <a:extLst>
            <a:ext uri="{FF2B5EF4-FFF2-40B4-BE49-F238E27FC236}">
              <a16:creationId xmlns:a16="http://schemas.microsoft.com/office/drawing/2014/main" id="{29AFA5A7-1E15-4AEB-A41A-4CB4052EFD61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B6B88532-C3D6-4636-826C-FD1E47475385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CE1DB552-8884-4264-8D95-5BC9FBA856D6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92600EF9-17EB-4691-ADBA-1F98933671B4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1A76A568-CC83-43DC-8431-B620C8824E5B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9B253D7-DF69-44B7-9BA0-EB44C6F3DDD9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C2F7878A-F5CD-4E19-BC34-1C7259470993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11A95C3F-C592-4297-AC66-6B6FD8969241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7FA49AF-B5FD-435E-9FA3-FE60AEC0644C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23" name="Rectangle 22">
          <a:extLst>
            <a:ext uri="{FF2B5EF4-FFF2-40B4-BE49-F238E27FC236}">
              <a16:creationId xmlns:a16="http://schemas.microsoft.com/office/drawing/2014/main" id="{079F5AE1-9FDA-409B-9554-9EF468CCFAB8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24" name="Rectangle 23">
          <a:extLst>
            <a:ext uri="{FF2B5EF4-FFF2-40B4-BE49-F238E27FC236}">
              <a16:creationId xmlns:a16="http://schemas.microsoft.com/office/drawing/2014/main" id="{4C415C50-8C6D-4853-99F4-9A39DA50B4F9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25" name="Rectangle 24">
          <a:extLst>
            <a:ext uri="{FF2B5EF4-FFF2-40B4-BE49-F238E27FC236}">
              <a16:creationId xmlns:a16="http://schemas.microsoft.com/office/drawing/2014/main" id="{6885D84D-4A6A-4766-B275-0A42AEAA2E8C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5DF85C0A-FB67-4874-822A-F76673099238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7" name="Arrow: Chevron 26">
          <a:extLst>
            <a:ext uri="{FF2B5EF4-FFF2-40B4-BE49-F238E27FC236}">
              <a16:creationId xmlns:a16="http://schemas.microsoft.com/office/drawing/2014/main" id="{6A58DD75-0C49-4185-AD03-A84F4ADFA191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8" name="Arrow: Chevron 27">
          <a:extLst>
            <a:ext uri="{FF2B5EF4-FFF2-40B4-BE49-F238E27FC236}">
              <a16:creationId xmlns:a16="http://schemas.microsoft.com/office/drawing/2014/main" id="{7AAFE6F0-CF23-4AB1-90F4-20BAF4C9CF78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51AC3EB-D979-4B63-930B-6B6A2B52D0FE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604208A3-0420-4048-9E85-4FA583FBE5EC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894E8D42-9F5C-41EA-B302-BEA3F10FBE75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33713F70-E817-48A5-872A-467C8B36C00B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97CB53E5-22EA-42BE-AD08-49C4B0B752BE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68909419-D7D1-474D-89F6-E9E4EB700567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BA9DEFDF-E7F6-49D2-AEBC-14B6422371EE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F117CA9-9036-40DA-93BC-EF81EA149F9A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23" name="Rectangle 22">
          <a:extLst>
            <a:ext uri="{FF2B5EF4-FFF2-40B4-BE49-F238E27FC236}">
              <a16:creationId xmlns:a16="http://schemas.microsoft.com/office/drawing/2014/main" id="{F41A8F38-9E68-4D94-917D-0E65DB5004BF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24" name="Rectangle 23">
          <a:extLst>
            <a:ext uri="{FF2B5EF4-FFF2-40B4-BE49-F238E27FC236}">
              <a16:creationId xmlns:a16="http://schemas.microsoft.com/office/drawing/2014/main" id="{786B5F33-FC85-4D66-BB50-29BC09EC7113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25" name="Rectangle 24">
          <a:extLst>
            <a:ext uri="{FF2B5EF4-FFF2-40B4-BE49-F238E27FC236}">
              <a16:creationId xmlns:a16="http://schemas.microsoft.com/office/drawing/2014/main" id="{A3ECB78F-285B-4052-8E37-49B612E8DAF1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26CB9E-46DE-4506-ADF0-293E90748C03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7" name="Arrow: Chevron 26">
          <a:extLst>
            <a:ext uri="{FF2B5EF4-FFF2-40B4-BE49-F238E27FC236}">
              <a16:creationId xmlns:a16="http://schemas.microsoft.com/office/drawing/2014/main" id="{CD63C68C-67DA-433B-AE78-F7AE10BE26F4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8" name="Arrow: Chevron 27">
          <a:extLst>
            <a:ext uri="{FF2B5EF4-FFF2-40B4-BE49-F238E27FC236}">
              <a16:creationId xmlns:a16="http://schemas.microsoft.com/office/drawing/2014/main" id="{2A1178D3-D9DE-4CB3-86FA-41BC6C1872D3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26FDD3CC-86B5-462A-B09D-8CFCD82AF6ED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16" name="Rectangle 15">
          <a:extLst>
            <a:ext uri="{FF2B5EF4-FFF2-40B4-BE49-F238E27FC236}">
              <a16:creationId xmlns:a16="http://schemas.microsoft.com/office/drawing/2014/main" id="{49B127BE-E6CF-4177-A10F-DC83B08A022F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17" name="Rectangle 16">
          <a:extLst>
            <a:ext uri="{FF2B5EF4-FFF2-40B4-BE49-F238E27FC236}">
              <a16:creationId xmlns:a16="http://schemas.microsoft.com/office/drawing/2014/main" id="{68FEB5F3-0429-4874-8007-878CE3149266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18" name="Rectangle 17">
          <a:extLst>
            <a:ext uri="{FF2B5EF4-FFF2-40B4-BE49-F238E27FC236}">
              <a16:creationId xmlns:a16="http://schemas.microsoft.com/office/drawing/2014/main" id="{31754C85-0A4E-48CA-ABCB-D1C4312204C3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9BBE404A-1602-48F3-B64A-5E02310DE24D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0" name="Arrow: Chevron 19">
          <a:extLst>
            <a:ext uri="{FF2B5EF4-FFF2-40B4-BE49-F238E27FC236}">
              <a16:creationId xmlns:a16="http://schemas.microsoft.com/office/drawing/2014/main" id="{28CE1FE7-3EE9-4FC9-99E8-C3F5C46EB600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1" name="Arrow: Chevron 20">
          <a:extLst>
            <a:ext uri="{FF2B5EF4-FFF2-40B4-BE49-F238E27FC236}">
              <a16:creationId xmlns:a16="http://schemas.microsoft.com/office/drawing/2014/main" id="{B6BA841E-DF88-4CBD-ABE5-34E91D7CD507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C885430-55A5-41CE-9AF4-5F31FED1A412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  <xdr:twoCellAnchor>
    <xdr:from>
      <xdr:col>7</xdr:col>
      <xdr:colOff>586740</xdr:colOff>
      <xdr:row>0</xdr:row>
      <xdr:rowOff>38100</xdr:rowOff>
    </xdr:from>
    <xdr:to>
      <xdr:col>8</xdr:col>
      <xdr:colOff>792480</xdr:colOff>
      <xdr:row>1</xdr:row>
      <xdr:rowOff>137160</xdr:rowOff>
    </xdr:to>
    <xdr:sp macro="[0]!_xludf.SAVE" textlink="">
      <xdr:nvSpPr>
        <xdr:cNvPr id="23" name="Rectangle 22">
          <a:extLst>
            <a:ext uri="{FF2B5EF4-FFF2-40B4-BE49-F238E27FC236}">
              <a16:creationId xmlns:a16="http://schemas.microsoft.com/office/drawing/2014/main" id="{0F4BFDDA-CF42-4B4C-A657-098E193AA81F}"/>
            </a:ext>
          </a:extLst>
        </xdr:cNvPr>
        <xdr:cNvSpPr/>
      </xdr:nvSpPr>
      <xdr:spPr>
        <a:xfrm>
          <a:off x="6949440" y="38100"/>
          <a:ext cx="10439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SAVE</a:t>
          </a:r>
        </a:p>
      </xdr:txBody>
    </xdr:sp>
    <xdr:clientData/>
  </xdr:twoCellAnchor>
  <xdr:twoCellAnchor>
    <xdr:from>
      <xdr:col>14</xdr:col>
      <xdr:colOff>426720</xdr:colOff>
      <xdr:row>2</xdr:row>
      <xdr:rowOff>80010</xdr:rowOff>
    </xdr:from>
    <xdr:to>
      <xdr:col>16</xdr:col>
      <xdr:colOff>83820</xdr:colOff>
      <xdr:row>2</xdr:row>
      <xdr:rowOff>339090</xdr:rowOff>
    </xdr:to>
    <xdr:sp macro="[0]!_xludf.Clear" textlink="">
      <xdr:nvSpPr>
        <xdr:cNvPr id="24" name="Rectangle 23">
          <a:extLst>
            <a:ext uri="{FF2B5EF4-FFF2-40B4-BE49-F238E27FC236}">
              <a16:creationId xmlns:a16="http://schemas.microsoft.com/office/drawing/2014/main" id="{EC71E51E-5BD5-4895-A052-88E7D7B69574}"/>
            </a:ext>
          </a:extLst>
        </xdr:cNvPr>
        <xdr:cNvSpPr/>
      </xdr:nvSpPr>
      <xdr:spPr>
        <a:xfrm>
          <a:off x="1210818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CLEAR</a:t>
          </a:r>
        </a:p>
      </xdr:txBody>
    </xdr:sp>
    <xdr:clientData/>
  </xdr:twoCellAnchor>
  <xdr:twoCellAnchor>
    <xdr:from>
      <xdr:col>13</xdr:col>
      <xdr:colOff>22860</xdr:colOff>
      <xdr:row>2</xdr:row>
      <xdr:rowOff>80010</xdr:rowOff>
    </xdr:from>
    <xdr:to>
      <xdr:col>14</xdr:col>
      <xdr:colOff>190500</xdr:colOff>
      <xdr:row>2</xdr:row>
      <xdr:rowOff>339090</xdr:rowOff>
    </xdr:to>
    <xdr:sp macro="[0]!_xludf.SORT" textlink="">
      <xdr:nvSpPr>
        <xdr:cNvPr id="25" name="Rectangle 24">
          <a:extLst>
            <a:ext uri="{FF2B5EF4-FFF2-40B4-BE49-F238E27FC236}">
              <a16:creationId xmlns:a16="http://schemas.microsoft.com/office/drawing/2014/main" id="{7157DC49-4B06-4F1C-B9C6-D60E28309949}"/>
            </a:ext>
          </a:extLst>
        </xdr:cNvPr>
        <xdr:cNvSpPr/>
      </xdr:nvSpPr>
      <xdr:spPr>
        <a:xfrm>
          <a:off x="1099566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SORT</a:t>
          </a:r>
        </a:p>
      </xdr:txBody>
    </xdr:sp>
    <xdr:clientData/>
  </xdr:twoCellAnchor>
  <xdr:twoCellAnchor>
    <xdr:from>
      <xdr:col>16</xdr:col>
      <xdr:colOff>320040</xdr:colOff>
      <xdr:row>2</xdr:row>
      <xdr:rowOff>80010</xdr:rowOff>
    </xdr:from>
    <xdr:to>
      <xdr:col>17</xdr:col>
      <xdr:colOff>586740</xdr:colOff>
      <xdr:row>2</xdr:row>
      <xdr:rowOff>339090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D7D0A96-F2A8-4BB5-B21D-72D277CE3FA0}"/>
            </a:ext>
          </a:extLst>
        </xdr:cNvPr>
        <xdr:cNvSpPr/>
      </xdr:nvSpPr>
      <xdr:spPr>
        <a:xfrm>
          <a:off x="13220700" y="445770"/>
          <a:ext cx="87630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REAPPLY</a:t>
          </a:r>
        </a:p>
      </xdr:txBody>
    </xdr:sp>
    <xdr:clientData/>
  </xdr:twoCellAnchor>
  <xdr:twoCellAnchor>
    <xdr:from>
      <xdr:col>17</xdr:col>
      <xdr:colOff>190500</xdr:colOff>
      <xdr:row>0</xdr:row>
      <xdr:rowOff>102870</xdr:rowOff>
    </xdr:from>
    <xdr:to>
      <xdr:col>17</xdr:col>
      <xdr:colOff>533400</xdr:colOff>
      <xdr:row>1</xdr:row>
      <xdr:rowOff>163830</xdr:rowOff>
    </xdr:to>
    <xdr:sp macro="" textlink="">
      <xdr:nvSpPr>
        <xdr:cNvPr id="27" name="Arrow: Chevron 26">
          <a:extLst>
            <a:ext uri="{FF2B5EF4-FFF2-40B4-BE49-F238E27FC236}">
              <a16:creationId xmlns:a16="http://schemas.microsoft.com/office/drawing/2014/main" id="{16EAFD82-32BB-4C0C-8288-5EEB6C7FEDAA}"/>
            </a:ext>
          </a:extLst>
        </xdr:cNvPr>
        <xdr:cNvSpPr/>
      </xdr:nvSpPr>
      <xdr:spPr>
        <a:xfrm>
          <a:off x="13700760" y="102870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76200</xdr:colOff>
      <xdr:row>0</xdr:row>
      <xdr:rowOff>102871</xdr:rowOff>
    </xdr:from>
    <xdr:to>
      <xdr:col>13</xdr:col>
      <xdr:colOff>419100</xdr:colOff>
      <xdr:row>1</xdr:row>
      <xdr:rowOff>163831</xdr:rowOff>
    </xdr:to>
    <xdr:sp macro="" textlink="">
      <xdr:nvSpPr>
        <xdr:cNvPr id="28" name="Arrow: Chevron 27">
          <a:extLst>
            <a:ext uri="{FF2B5EF4-FFF2-40B4-BE49-F238E27FC236}">
              <a16:creationId xmlns:a16="http://schemas.microsoft.com/office/drawing/2014/main" id="{9C602597-5936-4252-AA44-A1FDEEA3586C}"/>
            </a:ext>
          </a:extLst>
        </xdr:cNvPr>
        <xdr:cNvSpPr/>
      </xdr:nvSpPr>
      <xdr:spPr>
        <a:xfrm rot="10800000">
          <a:off x="11049000" y="102871"/>
          <a:ext cx="342900" cy="24384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556260</xdr:colOff>
      <xdr:row>0</xdr:row>
      <xdr:rowOff>83820</xdr:rowOff>
    </xdr:from>
    <xdr:to>
      <xdr:col>17</xdr:col>
      <xdr:colOff>53340</xdr:colOff>
      <xdr:row>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613B3C33-B739-4C12-853B-F6764A5F97B7}"/>
            </a:ext>
          </a:extLst>
        </xdr:cNvPr>
        <xdr:cNvSpPr/>
      </xdr:nvSpPr>
      <xdr:spPr>
        <a:xfrm>
          <a:off x="11529060" y="83820"/>
          <a:ext cx="203454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1D422A-76CB-4066-8CFB-7B2D08853690}" name="Table6" displayName="Table6" ref="L2:P10" totalsRowShown="0">
  <autoFilter ref="L2:P10" xr:uid="{80A116E3-C0C5-434C-AB78-99D9251CB828}"/>
  <tableColumns count="5">
    <tableColumn id="1" xr3:uid="{32FA664F-2F5B-41E8-A8C6-FEA95FE5F2C1}" name="In Line List"/>
    <tableColumn id="2" xr3:uid="{CA3C89FA-4AFB-4985-B86A-95ECD1C1331B}" name="Column1"/>
    <tableColumn id="3" xr3:uid="{ED5F90CB-BE72-4B02-9FE9-E18AB0E5D1EC}" name="Inventory"/>
    <tableColumn id="4" xr3:uid="{CF98F22D-532B-4B08-8858-B96711A3E62D}" name="total"/>
    <tableColumn id="5" xr3:uid="{C8A3972C-04C8-4D08-9E8F-4815745464DB}" name="Require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9"/>
  <sheetViews>
    <sheetView workbookViewId="0">
      <selection activeCell="V29" sqref="V29"/>
    </sheetView>
  </sheetViews>
  <sheetFormatPr defaultRowHeight="14.4" x14ac:dyDescent="0.3"/>
  <cols>
    <col min="1" max="10" width="8.88671875" customWidth="1"/>
  </cols>
  <sheetData>
    <row r="1" spans="1:23" x14ac:dyDescent="0.3">
      <c r="A1" s="28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30"/>
    </row>
    <row r="2" spans="1:23" x14ac:dyDescent="0.3">
      <c r="A2" s="31"/>
      <c r="W2" s="32"/>
    </row>
    <row r="3" spans="1:23" x14ac:dyDescent="0.3">
      <c r="A3" s="31"/>
      <c r="W3" s="32"/>
    </row>
    <row r="4" spans="1:23" x14ac:dyDescent="0.3">
      <c r="A4" s="31"/>
      <c r="W4" s="32"/>
    </row>
    <row r="5" spans="1:23" x14ac:dyDescent="0.3">
      <c r="A5" s="31"/>
      <c r="W5" s="32"/>
    </row>
    <row r="6" spans="1:23" x14ac:dyDescent="0.3">
      <c r="A6" s="31"/>
      <c r="W6" s="32"/>
    </row>
    <row r="7" spans="1:23" x14ac:dyDescent="0.3">
      <c r="A7" s="31"/>
      <c r="W7" s="32"/>
    </row>
    <row r="8" spans="1:23" x14ac:dyDescent="0.3">
      <c r="A8" s="31"/>
      <c r="W8" s="32"/>
    </row>
    <row r="9" spans="1:23" x14ac:dyDescent="0.3">
      <c r="A9" s="31"/>
      <c r="W9" s="32"/>
    </row>
    <row r="10" spans="1:23" x14ac:dyDescent="0.3">
      <c r="A10" s="31"/>
      <c r="W10" s="32"/>
    </row>
    <row r="11" spans="1:23" x14ac:dyDescent="0.3">
      <c r="A11" s="31"/>
      <c r="W11" s="32"/>
    </row>
    <row r="12" spans="1:23" x14ac:dyDescent="0.3">
      <c r="A12" s="31"/>
      <c r="W12" s="32"/>
    </row>
    <row r="13" spans="1:23" x14ac:dyDescent="0.3">
      <c r="A13" s="31"/>
      <c r="W13" s="32"/>
    </row>
    <row r="14" spans="1:23" x14ac:dyDescent="0.3">
      <c r="A14" s="31"/>
      <c r="W14" s="32"/>
    </row>
    <row r="15" spans="1:23" x14ac:dyDescent="0.3">
      <c r="A15" s="31"/>
      <c r="W15" s="32"/>
    </row>
    <row r="16" spans="1:23" x14ac:dyDescent="0.3">
      <c r="A16" s="31"/>
      <c r="W16" s="32"/>
    </row>
    <row r="17" spans="1:23" x14ac:dyDescent="0.3">
      <c r="A17" s="31"/>
      <c r="W17" s="32"/>
    </row>
    <row r="18" spans="1:23" x14ac:dyDescent="0.3">
      <c r="A18" s="31"/>
      <c r="W18" s="32"/>
    </row>
    <row r="19" spans="1:23" x14ac:dyDescent="0.3">
      <c r="A19" s="31"/>
      <c r="W19" s="32"/>
    </row>
    <row r="20" spans="1:23" x14ac:dyDescent="0.3">
      <c r="A20" s="31"/>
      <c r="W20" s="32"/>
    </row>
    <row r="21" spans="1:23" x14ac:dyDescent="0.3">
      <c r="A21" s="31"/>
      <c r="W21" s="32"/>
    </row>
    <row r="22" spans="1:23" x14ac:dyDescent="0.3">
      <c r="A22" s="31"/>
      <c r="W22" s="32"/>
    </row>
    <row r="23" spans="1:23" x14ac:dyDescent="0.3">
      <c r="A23" s="31"/>
      <c r="W23" s="32"/>
    </row>
    <row r="24" spans="1:23" x14ac:dyDescent="0.3">
      <c r="A24" s="31"/>
      <c r="W24" s="32"/>
    </row>
    <row r="25" spans="1:23" x14ac:dyDescent="0.3">
      <c r="A25" s="31"/>
      <c r="W25" s="32"/>
    </row>
    <row r="26" spans="1:23" x14ac:dyDescent="0.3">
      <c r="A26" s="31"/>
      <c r="W26" s="32"/>
    </row>
    <row r="27" spans="1:23" x14ac:dyDescent="0.3">
      <c r="A27" s="31"/>
      <c r="W27" s="32"/>
    </row>
    <row r="28" spans="1:23" x14ac:dyDescent="0.3">
      <c r="A28" s="31"/>
      <c r="W28" s="32"/>
    </row>
    <row r="29" spans="1:23" ht="15" thickBot="1" x14ac:dyDescent="0.35">
      <c r="A29" s="33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3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90CBE-EDA1-4479-BDDD-0AB01D2E1F49}">
  <sheetPr codeName="Sheet12"/>
  <dimension ref="A1:P476"/>
  <sheetViews>
    <sheetView workbookViewId="0">
      <selection activeCell="P16" sqref="P16"/>
    </sheetView>
  </sheetViews>
  <sheetFormatPr defaultRowHeight="14.4" x14ac:dyDescent="0.3"/>
  <cols>
    <col min="1" max="1" width="9.33203125" customWidth="1"/>
    <col min="2" max="2" width="16.109375" bestFit="1" customWidth="1"/>
    <col min="3" max="11" width="9.33203125" customWidth="1"/>
    <col min="12" max="12" width="11.6640625" customWidth="1"/>
    <col min="13" max="13" width="10.44140625" customWidth="1"/>
    <col min="14" max="14" width="11.109375" customWidth="1"/>
    <col min="15" max="15" width="9.33203125" customWidth="1"/>
    <col min="16" max="16" width="13.77734375" customWidth="1"/>
    <col min="17" max="18" width="9.33203125" customWidth="1"/>
  </cols>
  <sheetData>
    <row r="1" spans="1:16" ht="15.6" x14ac:dyDescent="0.3">
      <c r="A1" s="35" t="s">
        <v>574</v>
      </c>
      <c r="B1" s="15" t="s">
        <v>25</v>
      </c>
      <c r="C1" s="35" t="s">
        <v>575</v>
      </c>
      <c r="D1" s="35" t="s">
        <v>577</v>
      </c>
      <c r="E1" s="35" t="s">
        <v>578</v>
      </c>
      <c r="F1" s="35" t="s">
        <v>576</v>
      </c>
      <c r="L1" s="36" t="s">
        <v>0</v>
      </c>
      <c r="M1" s="36"/>
      <c r="N1" s="36"/>
      <c r="O1" s="36"/>
      <c r="P1" s="36"/>
    </row>
    <row r="2" spans="1:16" x14ac:dyDescent="0.3">
      <c r="A2" s="6">
        <v>1</v>
      </c>
      <c r="B2" s="6" t="s">
        <v>14</v>
      </c>
      <c r="C2" s="6" t="str">
        <f>LEFT(B2,6)</f>
        <v xml:space="preserve">KT8FL </v>
      </c>
      <c r="D2" s="6" t="str">
        <f>LEFT(C2,3)</f>
        <v>KT8</v>
      </c>
      <c r="E2" s="6" t="str">
        <f>RIGHT(C2,3)</f>
        <v xml:space="preserve">FL </v>
      </c>
      <c r="F2" s="6" t="str">
        <f>RIGHT(B2,6)</f>
        <v>F84746</v>
      </c>
      <c r="L2" t="s">
        <v>9</v>
      </c>
      <c r="M2" t="s">
        <v>13</v>
      </c>
      <c r="N2" t="s">
        <v>10</v>
      </c>
      <c r="O2" t="s">
        <v>11</v>
      </c>
      <c r="P2" t="s">
        <v>12</v>
      </c>
    </row>
    <row r="3" spans="1:16" x14ac:dyDescent="0.3">
      <c r="A3" s="6">
        <v>2</v>
      </c>
      <c r="B3" s="6" t="s">
        <v>17</v>
      </c>
      <c r="C3" s="6" t="str">
        <f t="shared" ref="C3:C66" si="0">LEFT(B3,6)</f>
        <v xml:space="preserve">KT8FL </v>
      </c>
      <c r="D3" s="6" t="str">
        <f t="shared" ref="D3:D66" si="1">LEFT(C3,3)</f>
        <v>KT8</v>
      </c>
      <c r="E3" s="6" t="str">
        <f t="shared" ref="E3:E66" si="2">RIGHT(C3,3)</f>
        <v xml:space="preserve">FL </v>
      </c>
      <c r="F3" s="6" t="str">
        <f t="shared" ref="F3:F66" si="3">RIGHT(B3,6)</f>
        <v>E48185</v>
      </c>
      <c r="L3" t="s">
        <v>1</v>
      </c>
      <c r="M3">
        <v>359</v>
      </c>
      <c r="N3">
        <v>20</v>
      </c>
      <c r="O3">
        <v>379</v>
      </c>
    </row>
    <row r="4" spans="1:16" x14ac:dyDescent="0.3">
      <c r="A4" s="6">
        <v>3</v>
      </c>
      <c r="B4" s="6" t="s">
        <v>27</v>
      </c>
      <c r="C4" s="6" t="str">
        <f t="shared" si="0"/>
        <v xml:space="preserve">KT8FL </v>
      </c>
      <c r="D4" s="6" t="str">
        <f t="shared" si="1"/>
        <v>KT8</v>
      </c>
      <c r="E4" s="6" t="str">
        <f t="shared" si="2"/>
        <v xml:space="preserve">FL </v>
      </c>
      <c r="F4" s="6" t="str">
        <f t="shared" si="3"/>
        <v>515136</v>
      </c>
      <c r="L4" t="s">
        <v>2</v>
      </c>
      <c r="M4">
        <v>51</v>
      </c>
      <c r="N4">
        <v>9</v>
      </c>
      <c r="O4">
        <v>60</v>
      </c>
    </row>
    <row r="5" spans="1:16" x14ac:dyDescent="0.3">
      <c r="A5" s="6">
        <v>4</v>
      </c>
      <c r="B5" s="6" t="s">
        <v>28</v>
      </c>
      <c r="C5" s="6" t="str">
        <f t="shared" si="0"/>
        <v xml:space="preserve">KT8FL </v>
      </c>
      <c r="D5" s="6" t="str">
        <f t="shared" si="1"/>
        <v>KT8</v>
      </c>
      <c r="E5" s="6" t="str">
        <f t="shared" si="2"/>
        <v xml:space="preserve">FL </v>
      </c>
      <c r="F5" s="6" t="str">
        <f t="shared" si="3"/>
        <v>F96918</v>
      </c>
      <c r="L5" t="s">
        <v>3</v>
      </c>
      <c r="M5">
        <v>17</v>
      </c>
      <c r="N5">
        <v>12</v>
      </c>
      <c r="O5">
        <v>29</v>
      </c>
    </row>
    <row r="6" spans="1:16" x14ac:dyDescent="0.3">
      <c r="A6" s="6">
        <v>5</v>
      </c>
      <c r="B6" s="6" t="s">
        <v>29</v>
      </c>
      <c r="C6" s="6" t="str">
        <f t="shared" si="0"/>
        <v xml:space="preserve">KT8FL </v>
      </c>
      <c r="D6" s="6" t="str">
        <f t="shared" si="1"/>
        <v>KT8</v>
      </c>
      <c r="E6" s="6" t="str">
        <f t="shared" si="2"/>
        <v xml:space="preserve">FL </v>
      </c>
      <c r="F6" s="6" t="str">
        <f t="shared" si="3"/>
        <v>515041</v>
      </c>
      <c r="L6" t="s">
        <v>4</v>
      </c>
      <c r="M6">
        <v>7</v>
      </c>
      <c r="N6">
        <v>12</v>
      </c>
      <c r="O6">
        <v>19</v>
      </c>
    </row>
    <row r="7" spans="1:16" x14ac:dyDescent="0.3">
      <c r="A7" s="6">
        <v>6</v>
      </c>
      <c r="B7" s="6" t="s">
        <v>30</v>
      </c>
      <c r="C7" s="6" t="str">
        <f t="shared" si="0"/>
        <v xml:space="preserve">KT8FL </v>
      </c>
      <c r="D7" s="6" t="str">
        <f t="shared" si="1"/>
        <v>KT8</v>
      </c>
      <c r="E7" s="6" t="str">
        <f t="shared" si="2"/>
        <v xml:space="preserve">FL </v>
      </c>
      <c r="F7" s="6" t="str">
        <f t="shared" si="3"/>
        <v>F84742</v>
      </c>
      <c r="L7" t="s">
        <v>5</v>
      </c>
      <c r="M7">
        <v>5</v>
      </c>
      <c r="O7">
        <v>5</v>
      </c>
    </row>
    <row r="8" spans="1:16" x14ac:dyDescent="0.3">
      <c r="A8" s="6">
        <v>7</v>
      </c>
      <c r="B8" s="6" t="s">
        <v>31</v>
      </c>
      <c r="C8" s="6" t="str">
        <f t="shared" si="0"/>
        <v xml:space="preserve">KT8FL </v>
      </c>
      <c r="D8" s="6" t="str">
        <f t="shared" si="1"/>
        <v>KT8</v>
      </c>
      <c r="E8" s="6" t="str">
        <f t="shared" si="2"/>
        <v xml:space="preserve">FL </v>
      </c>
      <c r="F8" s="6" t="str">
        <f t="shared" si="3"/>
        <v>515094</v>
      </c>
      <c r="L8" t="s">
        <v>6</v>
      </c>
      <c r="M8">
        <v>5</v>
      </c>
      <c r="O8">
        <v>5</v>
      </c>
    </row>
    <row r="9" spans="1:16" x14ac:dyDescent="0.3">
      <c r="A9" s="6">
        <v>8</v>
      </c>
      <c r="B9" s="6" t="s">
        <v>32</v>
      </c>
      <c r="C9" s="6" t="str">
        <f t="shared" si="0"/>
        <v xml:space="preserve">KT8FL </v>
      </c>
      <c r="D9" s="6" t="str">
        <f t="shared" si="1"/>
        <v>KT8</v>
      </c>
      <c r="E9" s="6" t="str">
        <f t="shared" si="2"/>
        <v xml:space="preserve">FL </v>
      </c>
      <c r="F9" s="6" t="str">
        <f t="shared" si="3"/>
        <v>E06459</v>
      </c>
      <c r="L9" t="s">
        <v>7</v>
      </c>
      <c r="M9">
        <v>1</v>
      </c>
      <c r="O9">
        <v>1</v>
      </c>
    </row>
    <row r="10" spans="1:16" x14ac:dyDescent="0.3">
      <c r="A10" s="6">
        <v>9</v>
      </c>
      <c r="B10" s="6" t="s">
        <v>33</v>
      </c>
      <c r="C10" s="6" t="str">
        <f t="shared" si="0"/>
        <v xml:space="preserve">KT8FL </v>
      </c>
      <c r="D10" s="6" t="str">
        <f t="shared" si="1"/>
        <v>KT8</v>
      </c>
      <c r="E10" s="6" t="str">
        <f t="shared" si="2"/>
        <v xml:space="preserve">FL </v>
      </c>
      <c r="F10" s="6" t="str">
        <f t="shared" si="3"/>
        <v>515064</v>
      </c>
      <c r="L10" t="s">
        <v>8</v>
      </c>
      <c r="M10">
        <v>2</v>
      </c>
      <c r="O10">
        <v>2</v>
      </c>
    </row>
    <row r="11" spans="1:16" x14ac:dyDescent="0.3">
      <c r="A11" s="6">
        <v>10</v>
      </c>
      <c r="B11" s="6" t="s">
        <v>34</v>
      </c>
      <c r="C11" s="6" t="str">
        <f t="shared" si="0"/>
        <v xml:space="preserve">KT8FL </v>
      </c>
      <c r="D11" s="6" t="str">
        <f t="shared" si="1"/>
        <v>KT8</v>
      </c>
      <c r="E11" s="6" t="str">
        <f t="shared" si="2"/>
        <v xml:space="preserve">FL </v>
      </c>
      <c r="F11" s="6" t="str">
        <f t="shared" si="3"/>
        <v>E06409</v>
      </c>
    </row>
    <row r="12" spans="1:16" x14ac:dyDescent="0.3">
      <c r="A12" s="6">
        <v>11</v>
      </c>
      <c r="B12" s="6" t="s">
        <v>35</v>
      </c>
      <c r="C12" s="6" t="str">
        <f t="shared" si="0"/>
        <v xml:space="preserve">KT8FL </v>
      </c>
      <c r="D12" s="6" t="str">
        <f t="shared" si="1"/>
        <v>KT8</v>
      </c>
      <c r="E12" s="6" t="str">
        <f t="shared" si="2"/>
        <v xml:space="preserve">FL </v>
      </c>
      <c r="F12" s="6" t="str">
        <f t="shared" si="3"/>
        <v>515158</v>
      </c>
    </row>
    <row r="13" spans="1:16" x14ac:dyDescent="0.3">
      <c r="A13" s="6">
        <v>12</v>
      </c>
      <c r="B13" s="6" t="s">
        <v>36</v>
      </c>
      <c r="C13" s="6" t="str">
        <f t="shared" si="0"/>
        <v xml:space="preserve">KT8FL </v>
      </c>
      <c r="D13" s="6" t="str">
        <f t="shared" si="1"/>
        <v>KT8</v>
      </c>
      <c r="E13" s="6" t="str">
        <f t="shared" si="2"/>
        <v xml:space="preserve">FL </v>
      </c>
      <c r="F13" s="6" t="str">
        <f t="shared" si="3"/>
        <v>515148</v>
      </c>
    </row>
    <row r="14" spans="1:16" x14ac:dyDescent="0.3">
      <c r="A14" s="6">
        <v>13</v>
      </c>
      <c r="B14" s="6" t="s">
        <v>37</v>
      </c>
      <c r="C14" s="6" t="str">
        <f t="shared" si="0"/>
        <v xml:space="preserve">KT8FL </v>
      </c>
      <c r="D14" s="6" t="str">
        <f t="shared" si="1"/>
        <v>KT8</v>
      </c>
      <c r="E14" s="6" t="str">
        <f t="shared" si="2"/>
        <v xml:space="preserve">FL </v>
      </c>
      <c r="F14" s="6" t="str">
        <f t="shared" si="3"/>
        <v>G00067</v>
      </c>
    </row>
    <row r="15" spans="1:16" x14ac:dyDescent="0.3">
      <c r="A15" s="6">
        <v>14</v>
      </c>
      <c r="B15" s="6" t="s">
        <v>38</v>
      </c>
      <c r="C15" s="6" t="str">
        <f t="shared" si="0"/>
        <v xml:space="preserve">KT8FL </v>
      </c>
      <c r="D15" s="6" t="str">
        <f t="shared" si="1"/>
        <v>KT8</v>
      </c>
      <c r="E15" s="6" t="str">
        <f t="shared" si="2"/>
        <v xml:space="preserve">FL </v>
      </c>
      <c r="F15" s="6" t="str">
        <f t="shared" si="3"/>
        <v>515034</v>
      </c>
    </row>
    <row r="16" spans="1:16" x14ac:dyDescent="0.3">
      <c r="A16" s="6">
        <v>15</v>
      </c>
      <c r="B16" s="6" t="s">
        <v>39</v>
      </c>
      <c r="C16" s="6" t="str">
        <f t="shared" si="0"/>
        <v xml:space="preserve">KT8FL </v>
      </c>
      <c r="D16" s="6" t="str">
        <f t="shared" si="1"/>
        <v>KT8</v>
      </c>
      <c r="E16" s="6" t="str">
        <f t="shared" si="2"/>
        <v xml:space="preserve">FL </v>
      </c>
      <c r="F16" s="6" t="str">
        <f t="shared" si="3"/>
        <v>515103</v>
      </c>
    </row>
    <row r="17" spans="1:6" x14ac:dyDescent="0.3">
      <c r="A17" s="6">
        <v>16</v>
      </c>
      <c r="B17" s="6" t="s">
        <v>40</v>
      </c>
      <c r="C17" s="6" t="str">
        <f t="shared" si="0"/>
        <v xml:space="preserve">KT8FL </v>
      </c>
      <c r="D17" s="6" t="str">
        <f t="shared" si="1"/>
        <v>KT8</v>
      </c>
      <c r="E17" s="6" t="str">
        <f t="shared" si="2"/>
        <v xml:space="preserve">FL </v>
      </c>
      <c r="F17" s="6" t="str">
        <f t="shared" si="3"/>
        <v>E06446</v>
      </c>
    </row>
    <row r="18" spans="1:6" x14ac:dyDescent="0.3">
      <c r="A18" s="6">
        <v>17</v>
      </c>
      <c r="B18" s="6" t="s">
        <v>41</v>
      </c>
      <c r="C18" s="6" t="str">
        <f t="shared" si="0"/>
        <v xml:space="preserve">KT8FL </v>
      </c>
      <c r="D18" s="6" t="str">
        <f t="shared" si="1"/>
        <v>KT8</v>
      </c>
      <c r="E18" s="6" t="str">
        <f t="shared" si="2"/>
        <v xml:space="preserve">FL </v>
      </c>
      <c r="F18" s="6" t="str">
        <f t="shared" si="3"/>
        <v>515102</v>
      </c>
    </row>
    <row r="19" spans="1:6" x14ac:dyDescent="0.3">
      <c r="A19" s="6">
        <v>18</v>
      </c>
      <c r="B19" s="6" t="s">
        <v>42</v>
      </c>
      <c r="C19" s="6" t="str">
        <f t="shared" si="0"/>
        <v xml:space="preserve">KT8FL </v>
      </c>
      <c r="D19" s="6" t="str">
        <f t="shared" si="1"/>
        <v>KT8</v>
      </c>
      <c r="E19" s="6" t="str">
        <f t="shared" si="2"/>
        <v xml:space="preserve">FL </v>
      </c>
      <c r="F19" s="6" t="str">
        <f t="shared" si="3"/>
        <v>515048</v>
      </c>
    </row>
    <row r="20" spans="1:6" x14ac:dyDescent="0.3">
      <c r="A20" s="6">
        <v>19</v>
      </c>
      <c r="B20" s="6" t="s">
        <v>43</v>
      </c>
      <c r="C20" s="6" t="str">
        <f t="shared" si="0"/>
        <v xml:space="preserve">KT8FL </v>
      </c>
      <c r="D20" s="6" t="str">
        <f t="shared" si="1"/>
        <v>KT8</v>
      </c>
      <c r="E20" s="6" t="str">
        <f t="shared" si="2"/>
        <v xml:space="preserve">FL </v>
      </c>
      <c r="F20" s="6" t="str">
        <f t="shared" si="3"/>
        <v>515144</v>
      </c>
    </row>
    <row r="21" spans="1:6" x14ac:dyDescent="0.3">
      <c r="A21" s="6">
        <v>20</v>
      </c>
      <c r="B21" s="6" t="s">
        <v>44</v>
      </c>
      <c r="C21" s="6" t="str">
        <f t="shared" si="0"/>
        <v xml:space="preserve">KT8FL </v>
      </c>
      <c r="D21" s="6" t="str">
        <f t="shared" si="1"/>
        <v>KT8</v>
      </c>
      <c r="E21" s="6" t="str">
        <f t="shared" si="2"/>
        <v xml:space="preserve">FL </v>
      </c>
      <c r="F21" s="6" t="str">
        <f t="shared" si="3"/>
        <v>E48036</v>
      </c>
    </row>
    <row r="22" spans="1:6" x14ac:dyDescent="0.3">
      <c r="A22" s="6">
        <v>21</v>
      </c>
      <c r="B22" s="6" t="s">
        <v>45</v>
      </c>
      <c r="C22" s="6" t="str">
        <f t="shared" si="0"/>
        <v xml:space="preserve">KT8FL </v>
      </c>
      <c r="D22" s="6" t="str">
        <f t="shared" si="1"/>
        <v>KT8</v>
      </c>
      <c r="E22" s="6" t="str">
        <f t="shared" si="2"/>
        <v xml:space="preserve">FL </v>
      </c>
      <c r="F22" s="6" t="str">
        <f t="shared" si="3"/>
        <v>E48035</v>
      </c>
    </row>
    <row r="23" spans="1:6" x14ac:dyDescent="0.3">
      <c r="A23" s="6">
        <v>22</v>
      </c>
      <c r="B23" s="6" t="s">
        <v>46</v>
      </c>
      <c r="C23" s="6" t="str">
        <f t="shared" si="0"/>
        <v xml:space="preserve">KT8FL </v>
      </c>
      <c r="D23" s="6" t="str">
        <f t="shared" si="1"/>
        <v>KT8</v>
      </c>
      <c r="E23" s="6" t="str">
        <f t="shared" si="2"/>
        <v xml:space="preserve">FL </v>
      </c>
      <c r="F23" s="6" t="str">
        <f t="shared" si="3"/>
        <v>F84741</v>
      </c>
    </row>
    <row r="24" spans="1:6" x14ac:dyDescent="0.3">
      <c r="A24" s="6">
        <v>23</v>
      </c>
      <c r="B24" s="6" t="s">
        <v>47</v>
      </c>
      <c r="C24" s="6" t="str">
        <f t="shared" si="0"/>
        <v xml:space="preserve">KT8FL </v>
      </c>
      <c r="D24" s="6" t="str">
        <f t="shared" si="1"/>
        <v>KT8</v>
      </c>
      <c r="E24" s="6" t="str">
        <f t="shared" si="2"/>
        <v xml:space="preserve">FL </v>
      </c>
      <c r="F24" s="6" t="str">
        <f t="shared" si="3"/>
        <v>F96978</v>
      </c>
    </row>
    <row r="25" spans="1:6" x14ac:dyDescent="0.3">
      <c r="A25" s="6">
        <v>24</v>
      </c>
      <c r="B25" s="6" t="s">
        <v>48</v>
      </c>
      <c r="C25" s="6" t="str">
        <f t="shared" si="0"/>
        <v xml:space="preserve">KT8FL </v>
      </c>
      <c r="D25" s="6" t="str">
        <f t="shared" si="1"/>
        <v>KT8</v>
      </c>
      <c r="E25" s="6" t="str">
        <f t="shared" si="2"/>
        <v xml:space="preserve">FL </v>
      </c>
      <c r="F25" s="6" t="str">
        <f t="shared" si="3"/>
        <v>E06582</v>
      </c>
    </row>
    <row r="26" spans="1:6" x14ac:dyDescent="0.3">
      <c r="A26" s="6">
        <v>25</v>
      </c>
      <c r="B26" s="6" t="s">
        <v>49</v>
      </c>
      <c r="C26" s="6" t="str">
        <f t="shared" si="0"/>
        <v xml:space="preserve">KT8FL </v>
      </c>
      <c r="D26" s="6" t="str">
        <f t="shared" si="1"/>
        <v>KT8</v>
      </c>
      <c r="E26" s="6" t="str">
        <f t="shared" si="2"/>
        <v xml:space="preserve">FL </v>
      </c>
      <c r="F26" s="6" t="str">
        <f t="shared" si="3"/>
        <v>E48029</v>
      </c>
    </row>
    <row r="27" spans="1:6" x14ac:dyDescent="0.3">
      <c r="A27" s="6">
        <v>26</v>
      </c>
      <c r="B27" s="6" t="s">
        <v>50</v>
      </c>
      <c r="C27" s="6" t="str">
        <f t="shared" si="0"/>
        <v xml:space="preserve">KT8FL </v>
      </c>
      <c r="D27" s="6" t="str">
        <f t="shared" si="1"/>
        <v>KT8</v>
      </c>
      <c r="E27" s="6" t="str">
        <f t="shared" si="2"/>
        <v xml:space="preserve">FL </v>
      </c>
      <c r="F27" s="6" t="str">
        <f t="shared" si="3"/>
        <v>E48038</v>
      </c>
    </row>
    <row r="28" spans="1:6" x14ac:dyDescent="0.3">
      <c r="A28" s="6">
        <v>27</v>
      </c>
      <c r="B28" s="6" t="s">
        <v>51</v>
      </c>
      <c r="C28" s="6" t="str">
        <f t="shared" si="0"/>
        <v xml:space="preserve">KT8FL </v>
      </c>
      <c r="D28" s="6" t="str">
        <f t="shared" si="1"/>
        <v>KT8</v>
      </c>
      <c r="E28" s="6" t="str">
        <f t="shared" si="2"/>
        <v xml:space="preserve">FL </v>
      </c>
      <c r="F28" s="6" t="str">
        <f t="shared" si="3"/>
        <v>E06460</v>
      </c>
    </row>
    <row r="29" spans="1:6" x14ac:dyDescent="0.3">
      <c r="A29" s="6">
        <v>28</v>
      </c>
      <c r="B29" s="6" t="s">
        <v>52</v>
      </c>
      <c r="C29" s="6" t="str">
        <f t="shared" si="0"/>
        <v xml:space="preserve">KT8FL </v>
      </c>
      <c r="D29" s="6" t="str">
        <f t="shared" si="1"/>
        <v>KT8</v>
      </c>
      <c r="E29" s="6" t="str">
        <f t="shared" si="2"/>
        <v xml:space="preserve">FL </v>
      </c>
      <c r="F29" s="6" t="str">
        <f t="shared" si="3"/>
        <v>E48030</v>
      </c>
    </row>
    <row r="30" spans="1:6" x14ac:dyDescent="0.3">
      <c r="A30" s="6">
        <v>29</v>
      </c>
      <c r="B30" s="6" t="s">
        <v>53</v>
      </c>
      <c r="C30" s="6" t="str">
        <f t="shared" si="0"/>
        <v xml:space="preserve">KT8FL </v>
      </c>
      <c r="D30" s="6" t="str">
        <f t="shared" si="1"/>
        <v>KT8</v>
      </c>
      <c r="E30" s="6" t="str">
        <f t="shared" si="2"/>
        <v xml:space="preserve">FL </v>
      </c>
      <c r="F30" s="6" t="str">
        <f t="shared" si="3"/>
        <v>515092</v>
      </c>
    </row>
    <row r="31" spans="1:6" x14ac:dyDescent="0.3">
      <c r="A31" s="6">
        <v>30</v>
      </c>
      <c r="B31" s="6" t="s">
        <v>54</v>
      </c>
      <c r="C31" s="6" t="str">
        <f t="shared" si="0"/>
        <v xml:space="preserve">KT8FL </v>
      </c>
      <c r="D31" s="6" t="str">
        <f t="shared" si="1"/>
        <v>KT8</v>
      </c>
      <c r="E31" s="6" t="str">
        <f t="shared" si="2"/>
        <v xml:space="preserve">FL </v>
      </c>
      <c r="F31" s="6" t="str">
        <f t="shared" si="3"/>
        <v>E48179</v>
      </c>
    </row>
    <row r="32" spans="1:6" x14ac:dyDescent="0.3">
      <c r="A32" s="6">
        <v>31</v>
      </c>
      <c r="B32" s="6" t="s">
        <v>55</v>
      </c>
      <c r="C32" s="6" t="str">
        <f t="shared" si="0"/>
        <v xml:space="preserve">KT8FL </v>
      </c>
      <c r="D32" s="6" t="str">
        <f t="shared" si="1"/>
        <v>KT8</v>
      </c>
      <c r="E32" s="6" t="str">
        <f t="shared" si="2"/>
        <v xml:space="preserve">FL </v>
      </c>
      <c r="F32" s="6" t="str">
        <f t="shared" si="3"/>
        <v>515059</v>
      </c>
    </row>
    <row r="33" spans="1:6" x14ac:dyDescent="0.3">
      <c r="A33" s="6">
        <v>32</v>
      </c>
      <c r="B33" s="6" t="s">
        <v>56</v>
      </c>
      <c r="C33" s="6" t="str">
        <f t="shared" si="0"/>
        <v xml:space="preserve">KT8FL </v>
      </c>
      <c r="D33" s="6" t="str">
        <f t="shared" si="1"/>
        <v>KT8</v>
      </c>
      <c r="E33" s="6" t="str">
        <f t="shared" si="2"/>
        <v xml:space="preserve">FL </v>
      </c>
      <c r="F33" s="6" t="str">
        <f t="shared" si="3"/>
        <v>E48155</v>
      </c>
    </row>
    <row r="34" spans="1:6" x14ac:dyDescent="0.3">
      <c r="A34" s="6">
        <v>33</v>
      </c>
      <c r="B34" s="6" t="s">
        <v>57</v>
      </c>
      <c r="C34" s="6" t="str">
        <f t="shared" si="0"/>
        <v xml:space="preserve">KT8FL </v>
      </c>
      <c r="D34" s="6" t="str">
        <f t="shared" si="1"/>
        <v>KT8</v>
      </c>
      <c r="E34" s="6" t="str">
        <f t="shared" si="2"/>
        <v xml:space="preserve">FL </v>
      </c>
      <c r="F34" s="6" t="str">
        <f t="shared" si="3"/>
        <v>F84671</v>
      </c>
    </row>
    <row r="35" spans="1:6" x14ac:dyDescent="0.3">
      <c r="A35" s="6">
        <v>34</v>
      </c>
      <c r="B35" s="6" t="s">
        <v>58</v>
      </c>
      <c r="C35" s="6" t="str">
        <f t="shared" si="0"/>
        <v xml:space="preserve">KT8FL </v>
      </c>
      <c r="D35" s="6" t="str">
        <f t="shared" si="1"/>
        <v>KT8</v>
      </c>
      <c r="E35" s="6" t="str">
        <f t="shared" si="2"/>
        <v xml:space="preserve">FL </v>
      </c>
      <c r="F35" s="6" t="str">
        <f t="shared" si="3"/>
        <v>F96975</v>
      </c>
    </row>
    <row r="36" spans="1:6" x14ac:dyDescent="0.3">
      <c r="A36" s="6">
        <v>35</v>
      </c>
      <c r="B36" s="6" t="s">
        <v>59</v>
      </c>
      <c r="C36" s="6" t="str">
        <f t="shared" si="0"/>
        <v xml:space="preserve">KT8FL </v>
      </c>
      <c r="D36" s="6" t="str">
        <f t="shared" si="1"/>
        <v>KT8</v>
      </c>
      <c r="E36" s="6" t="str">
        <f t="shared" si="2"/>
        <v xml:space="preserve">FL </v>
      </c>
      <c r="F36" s="6" t="str">
        <f t="shared" si="3"/>
        <v>E06410</v>
      </c>
    </row>
    <row r="37" spans="1:6" x14ac:dyDescent="0.3">
      <c r="A37" s="6">
        <v>36</v>
      </c>
      <c r="B37" s="6" t="s">
        <v>60</v>
      </c>
      <c r="C37" s="6" t="str">
        <f t="shared" si="0"/>
        <v xml:space="preserve">KT8FL </v>
      </c>
      <c r="D37" s="6" t="str">
        <f t="shared" si="1"/>
        <v>KT8</v>
      </c>
      <c r="E37" s="6" t="str">
        <f t="shared" si="2"/>
        <v xml:space="preserve">FL </v>
      </c>
      <c r="F37" s="6" t="str">
        <f t="shared" si="3"/>
        <v>F84748</v>
      </c>
    </row>
    <row r="38" spans="1:6" x14ac:dyDescent="0.3">
      <c r="A38" s="6">
        <v>37</v>
      </c>
      <c r="B38" s="6" t="s">
        <v>61</v>
      </c>
      <c r="C38" s="6" t="str">
        <f t="shared" si="0"/>
        <v xml:space="preserve">KT8FL </v>
      </c>
      <c r="D38" s="6" t="str">
        <f t="shared" si="1"/>
        <v>KT8</v>
      </c>
      <c r="E38" s="6" t="str">
        <f t="shared" si="2"/>
        <v xml:space="preserve">FL </v>
      </c>
      <c r="F38" s="6" t="str">
        <f t="shared" si="3"/>
        <v>E48025</v>
      </c>
    </row>
    <row r="39" spans="1:6" x14ac:dyDescent="0.3">
      <c r="A39" s="6">
        <v>38</v>
      </c>
      <c r="B39" s="6" t="s">
        <v>62</v>
      </c>
      <c r="C39" s="6" t="str">
        <f t="shared" si="0"/>
        <v xml:space="preserve">KT8FL </v>
      </c>
      <c r="D39" s="6" t="str">
        <f t="shared" si="1"/>
        <v>KT8</v>
      </c>
      <c r="E39" s="6" t="str">
        <f t="shared" si="2"/>
        <v xml:space="preserve">FL </v>
      </c>
      <c r="F39" s="6" t="str">
        <f t="shared" si="3"/>
        <v>E33363</v>
      </c>
    </row>
    <row r="40" spans="1:6" x14ac:dyDescent="0.3">
      <c r="A40" s="6">
        <v>39</v>
      </c>
      <c r="B40" s="6" t="s">
        <v>63</v>
      </c>
      <c r="C40" s="6" t="str">
        <f t="shared" si="0"/>
        <v xml:space="preserve">KT8FL </v>
      </c>
      <c r="D40" s="6" t="str">
        <f t="shared" si="1"/>
        <v>KT8</v>
      </c>
      <c r="E40" s="6" t="str">
        <f t="shared" si="2"/>
        <v xml:space="preserve">FL </v>
      </c>
      <c r="F40" s="6" t="str">
        <f t="shared" si="3"/>
        <v>G00197</v>
      </c>
    </row>
    <row r="41" spans="1:6" x14ac:dyDescent="0.3">
      <c r="A41" s="6">
        <v>40</v>
      </c>
      <c r="B41" s="6" t="s">
        <v>64</v>
      </c>
      <c r="C41" s="6" t="str">
        <f t="shared" si="0"/>
        <v xml:space="preserve">KT8FL </v>
      </c>
      <c r="D41" s="6" t="str">
        <f t="shared" si="1"/>
        <v>KT8</v>
      </c>
      <c r="E41" s="6" t="str">
        <f t="shared" si="2"/>
        <v xml:space="preserve">FL </v>
      </c>
      <c r="F41" s="6" t="str">
        <f t="shared" si="3"/>
        <v>515074</v>
      </c>
    </row>
    <row r="42" spans="1:6" x14ac:dyDescent="0.3">
      <c r="A42" s="6">
        <v>41</v>
      </c>
      <c r="B42" s="6" t="s">
        <v>65</v>
      </c>
      <c r="C42" s="6" t="str">
        <f t="shared" si="0"/>
        <v xml:space="preserve">KT8FL </v>
      </c>
      <c r="D42" s="6" t="str">
        <f t="shared" si="1"/>
        <v>KT8</v>
      </c>
      <c r="E42" s="6" t="str">
        <f t="shared" si="2"/>
        <v xml:space="preserve">FL </v>
      </c>
      <c r="F42" s="6" t="str">
        <f t="shared" si="3"/>
        <v>E48022</v>
      </c>
    </row>
    <row r="43" spans="1:6" x14ac:dyDescent="0.3">
      <c r="A43" s="6">
        <v>42</v>
      </c>
      <c r="B43" s="6" t="s">
        <v>66</v>
      </c>
      <c r="C43" s="6" t="str">
        <f t="shared" si="0"/>
        <v xml:space="preserve">KT8FL </v>
      </c>
      <c r="D43" s="6" t="str">
        <f t="shared" si="1"/>
        <v>KT8</v>
      </c>
      <c r="E43" s="6" t="str">
        <f t="shared" si="2"/>
        <v xml:space="preserve">FL </v>
      </c>
      <c r="F43" s="6" t="str">
        <f t="shared" si="3"/>
        <v>E48016</v>
      </c>
    </row>
    <row r="44" spans="1:6" x14ac:dyDescent="0.3">
      <c r="A44" s="6">
        <v>43</v>
      </c>
      <c r="B44" s="6" t="s">
        <v>67</v>
      </c>
      <c r="C44" s="6" t="str">
        <f t="shared" si="0"/>
        <v xml:space="preserve">KT8FL </v>
      </c>
      <c r="D44" s="6" t="str">
        <f t="shared" si="1"/>
        <v>KT8</v>
      </c>
      <c r="E44" s="6" t="str">
        <f t="shared" si="2"/>
        <v xml:space="preserve">FL </v>
      </c>
      <c r="F44" s="6" t="str">
        <f t="shared" si="3"/>
        <v>F96691</v>
      </c>
    </row>
    <row r="45" spans="1:6" x14ac:dyDescent="0.3">
      <c r="A45" s="6">
        <v>44</v>
      </c>
      <c r="B45" s="6" t="s">
        <v>68</v>
      </c>
      <c r="C45" s="6" t="str">
        <f t="shared" si="0"/>
        <v xml:space="preserve">KT8FL </v>
      </c>
      <c r="D45" s="6" t="str">
        <f t="shared" si="1"/>
        <v>KT8</v>
      </c>
      <c r="E45" s="6" t="str">
        <f t="shared" si="2"/>
        <v xml:space="preserve">FL </v>
      </c>
      <c r="F45" s="6" t="str">
        <f t="shared" si="3"/>
        <v>F84725</v>
      </c>
    </row>
    <row r="46" spans="1:6" x14ac:dyDescent="0.3">
      <c r="A46" s="6">
        <v>45</v>
      </c>
      <c r="B46" s="6" t="s">
        <v>69</v>
      </c>
      <c r="C46" s="6" t="str">
        <f t="shared" si="0"/>
        <v xml:space="preserve">KT8FL </v>
      </c>
      <c r="D46" s="6" t="str">
        <f t="shared" si="1"/>
        <v>KT8</v>
      </c>
      <c r="E46" s="6" t="str">
        <f t="shared" si="2"/>
        <v xml:space="preserve">FL </v>
      </c>
      <c r="F46" s="6" t="str">
        <f t="shared" si="3"/>
        <v>E06562</v>
      </c>
    </row>
    <row r="47" spans="1:6" x14ac:dyDescent="0.3">
      <c r="A47" s="6">
        <v>46</v>
      </c>
      <c r="B47" s="6" t="s">
        <v>70</v>
      </c>
      <c r="C47" s="6" t="str">
        <f t="shared" si="0"/>
        <v xml:space="preserve">KT8FL </v>
      </c>
      <c r="D47" s="6" t="str">
        <f t="shared" si="1"/>
        <v>KT8</v>
      </c>
      <c r="E47" s="6" t="str">
        <f t="shared" si="2"/>
        <v xml:space="preserve">FL </v>
      </c>
      <c r="F47" s="6" t="str">
        <f t="shared" si="3"/>
        <v>515143</v>
      </c>
    </row>
    <row r="48" spans="1:6" x14ac:dyDescent="0.3">
      <c r="A48" s="6">
        <v>47</v>
      </c>
      <c r="B48" s="6" t="s">
        <v>71</v>
      </c>
      <c r="C48" s="6" t="str">
        <f t="shared" si="0"/>
        <v xml:space="preserve">KT8FL </v>
      </c>
      <c r="D48" s="6" t="str">
        <f t="shared" si="1"/>
        <v>KT8</v>
      </c>
      <c r="E48" s="6" t="str">
        <f t="shared" si="2"/>
        <v xml:space="preserve">FL </v>
      </c>
      <c r="F48" s="6" t="str">
        <f t="shared" si="3"/>
        <v>E48039</v>
      </c>
    </row>
    <row r="49" spans="1:6" x14ac:dyDescent="0.3">
      <c r="A49" s="6">
        <v>48</v>
      </c>
      <c r="B49" s="6" t="s">
        <v>72</v>
      </c>
      <c r="C49" s="6" t="str">
        <f t="shared" si="0"/>
        <v xml:space="preserve">KT8FL </v>
      </c>
      <c r="D49" s="6" t="str">
        <f t="shared" si="1"/>
        <v>KT8</v>
      </c>
      <c r="E49" s="6" t="str">
        <f t="shared" si="2"/>
        <v xml:space="preserve">FL </v>
      </c>
      <c r="F49" s="6" t="str">
        <f t="shared" si="3"/>
        <v>F84678</v>
      </c>
    </row>
    <row r="50" spans="1:6" x14ac:dyDescent="0.3">
      <c r="A50" s="6">
        <v>49</v>
      </c>
      <c r="B50" s="6" t="s">
        <v>73</v>
      </c>
      <c r="C50" s="6" t="str">
        <f t="shared" si="0"/>
        <v xml:space="preserve">KT8FL </v>
      </c>
      <c r="D50" s="6" t="str">
        <f t="shared" si="1"/>
        <v>KT8</v>
      </c>
      <c r="E50" s="6" t="str">
        <f t="shared" si="2"/>
        <v xml:space="preserve">FL </v>
      </c>
      <c r="F50" s="6" t="str">
        <f t="shared" si="3"/>
        <v>E06554</v>
      </c>
    </row>
    <row r="51" spans="1:6" x14ac:dyDescent="0.3">
      <c r="A51" s="6">
        <v>50</v>
      </c>
      <c r="B51" s="6" t="s">
        <v>74</v>
      </c>
      <c r="C51" s="6" t="str">
        <f t="shared" si="0"/>
        <v xml:space="preserve">KT8FL </v>
      </c>
      <c r="D51" s="6" t="str">
        <f t="shared" si="1"/>
        <v>KT8</v>
      </c>
      <c r="E51" s="6" t="str">
        <f t="shared" si="2"/>
        <v xml:space="preserve">FL </v>
      </c>
      <c r="F51" s="6" t="str">
        <f t="shared" si="3"/>
        <v>F84676</v>
      </c>
    </row>
    <row r="52" spans="1:6" x14ac:dyDescent="0.3">
      <c r="A52" s="6">
        <v>51</v>
      </c>
      <c r="B52" s="6" t="s">
        <v>75</v>
      </c>
      <c r="C52" s="6" t="str">
        <f t="shared" si="0"/>
        <v xml:space="preserve">KT8FL </v>
      </c>
      <c r="D52" s="6" t="str">
        <f t="shared" si="1"/>
        <v>KT8</v>
      </c>
      <c r="E52" s="6" t="str">
        <f t="shared" si="2"/>
        <v xml:space="preserve">FL </v>
      </c>
      <c r="F52" s="6" t="str">
        <f t="shared" si="3"/>
        <v>E06558</v>
      </c>
    </row>
    <row r="53" spans="1:6" x14ac:dyDescent="0.3">
      <c r="A53" s="6">
        <v>52</v>
      </c>
      <c r="B53" s="6" t="s">
        <v>76</v>
      </c>
      <c r="C53" s="6" t="str">
        <f t="shared" si="0"/>
        <v xml:space="preserve">KT8FL </v>
      </c>
      <c r="D53" s="6" t="str">
        <f t="shared" si="1"/>
        <v>KT8</v>
      </c>
      <c r="E53" s="6" t="str">
        <f t="shared" si="2"/>
        <v xml:space="preserve">FL </v>
      </c>
      <c r="F53" s="6" t="str">
        <f t="shared" si="3"/>
        <v>E48184</v>
      </c>
    </row>
    <row r="54" spans="1:6" x14ac:dyDescent="0.3">
      <c r="A54" s="6">
        <v>53</v>
      </c>
      <c r="B54" s="6" t="s">
        <v>77</v>
      </c>
      <c r="C54" s="6" t="str">
        <f t="shared" si="0"/>
        <v xml:space="preserve">KT8FL </v>
      </c>
      <c r="D54" s="6" t="str">
        <f t="shared" si="1"/>
        <v>KT8</v>
      </c>
      <c r="E54" s="6" t="str">
        <f t="shared" si="2"/>
        <v xml:space="preserve">FL </v>
      </c>
      <c r="F54" s="6" t="str">
        <f t="shared" si="3"/>
        <v>E06408</v>
      </c>
    </row>
    <row r="55" spans="1:6" x14ac:dyDescent="0.3">
      <c r="A55" s="6">
        <v>54</v>
      </c>
      <c r="B55" s="6" t="s">
        <v>78</v>
      </c>
      <c r="C55" s="6" t="str">
        <f t="shared" si="0"/>
        <v xml:space="preserve">KT8FL </v>
      </c>
      <c r="D55" s="6" t="str">
        <f t="shared" si="1"/>
        <v>KT8</v>
      </c>
      <c r="E55" s="6" t="str">
        <f t="shared" si="2"/>
        <v xml:space="preserve">FL </v>
      </c>
      <c r="F55" s="6" t="str">
        <f t="shared" si="3"/>
        <v>E06450</v>
      </c>
    </row>
    <row r="56" spans="1:6" x14ac:dyDescent="0.3">
      <c r="A56" s="6">
        <v>55</v>
      </c>
      <c r="B56" s="6" t="s">
        <v>79</v>
      </c>
      <c r="C56" s="6" t="str">
        <f t="shared" si="0"/>
        <v xml:space="preserve">KT8FL </v>
      </c>
      <c r="D56" s="6" t="str">
        <f t="shared" si="1"/>
        <v>KT8</v>
      </c>
      <c r="E56" s="6" t="str">
        <f t="shared" si="2"/>
        <v xml:space="preserve">FL </v>
      </c>
      <c r="F56" s="6" t="str">
        <f t="shared" si="3"/>
        <v>E48017</v>
      </c>
    </row>
    <row r="57" spans="1:6" x14ac:dyDescent="0.3">
      <c r="A57" s="6">
        <v>56</v>
      </c>
      <c r="B57" s="6" t="s">
        <v>80</v>
      </c>
      <c r="C57" s="6" t="str">
        <f t="shared" si="0"/>
        <v xml:space="preserve">KT8FL </v>
      </c>
      <c r="D57" s="6" t="str">
        <f t="shared" si="1"/>
        <v>KT8</v>
      </c>
      <c r="E57" s="6" t="str">
        <f t="shared" si="2"/>
        <v xml:space="preserve">FL </v>
      </c>
      <c r="F57" s="6" t="str">
        <f t="shared" si="3"/>
        <v>F96877</v>
      </c>
    </row>
    <row r="58" spans="1:6" x14ac:dyDescent="0.3">
      <c r="A58" s="6">
        <v>57</v>
      </c>
      <c r="B58" s="6" t="s">
        <v>81</v>
      </c>
      <c r="C58" s="6" t="str">
        <f t="shared" si="0"/>
        <v xml:space="preserve">KT8FL </v>
      </c>
      <c r="D58" s="6" t="str">
        <f t="shared" si="1"/>
        <v>KT8</v>
      </c>
      <c r="E58" s="6" t="str">
        <f t="shared" si="2"/>
        <v xml:space="preserve">FL </v>
      </c>
      <c r="F58" s="6" t="str">
        <f t="shared" si="3"/>
        <v>515067</v>
      </c>
    </row>
    <row r="59" spans="1:6" x14ac:dyDescent="0.3">
      <c r="A59" s="6">
        <v>58</v>
      </c>
      <c r="B59" s="6" t="s">
        <v>82</v>
      </c>
      <c r="C59" s="6" t="str">
        <f t="shared" si="0"/>
        <v xml:space="preserve">KT8FL </v>
      </c>
      <c r="D59" s="6" t="str">
        <f t="shared" si="1"/>
        <v>KT8</v>
      </c>
      <c r="E59" s="6" t="str">
        <f t="shared" si="2"/>
        <v xml:space="preserve">FL </v>
      </c>
      <c r="F59" s="6" t="str">
        <f t="shared" si="3"/>
        <v>515166</v>
      </c>
    </row>
    <row r="60" spans="1:6" x14ac:dyDescent="0.3">
      <c r="A60" s="6">
        <v>59</v>
      </c>
      <c r="B60" s="6" t="s">
        <v>83</v>
      </c>
      <c r="C60" s="6" t="str">
        <f t="shared" si="0"/>
        <v xml:space="preserve">KT8FL </v>
      </c>
      <c r="D60" s="6" t="str">
        <f t="shared" si="1"/>
        <v>KT8</v>
      </c>
      <c r="E60" s="6" t="str">
        <f t="shared" si="2"/>
        <v xml:space="preserve">FL </v>
      </c>
      <c r="F60" s="6" t="str">
        <f t="shared" si="3"/>
        <v>F84672</v>
      </c>
    </row>
    <row r="61" spans="1:6" x14ac:dyDescent="0.3">
      <c r="A61" s="6">
        <v>60</v>
      </c>
      <c r="B61" s="6" t="s">
        <v>84</v>
      </c>
      <c r="C61" s="6" t="str">
        <f t="shared" si="0"/>
        <v xml:space="preserve">KT8FL </v>
      </c>
      <c r="D61" s="6" t="str">
        <f t="shared" si="1"/>
        <v>KT8</v>
      </c>
      <c r="E61" s="6" t="str">
        <f t="shared" si="2"/>
        <v xml:space="preserve">FL </v>
      </c>
      <c r="F61" s="6" t="str">
        <f t="shared" si="3"/>
        <v>E48146</v>
      </c>
    </row>
    <row r="62" spans="1:6" x14ac:dyDescent="0.3">
      <c r="A62" s="6">
        <v>61</v>
      </c>
      <c r="B62" s="6" t="s">
        <v>85</v>
      </c>
      <c r="C62" s="6" t="str">
        <f t="shared" si="0"/>
        <v xml:space="preserve">KT8FL </v>
      </c>
      <c r="D62" s="6" t="str">
        <f t="shared" si="1"/>
        <v>KT8</v>
      </c>
      <c r="E62" s="6" t="str">
        <f t="shared" si="2"/>
        <v xml:space="preserve">FL </v>
      </c>
      <c r="F62" s="6" t="str">
        <f t="shared" si="3"/>
        <v>F96697</v>
      </c>
    </row>
    <row r="63" spans="1:6" x14ac:dyDescent="0.3">
      <c r="A63" s="6">
        <v>62</v>
      </c>
      <c r="B63" s="6" t="s">
        <v>86</v>
      </c>
      <c r="C63" s="6" t="str">
        <f t="shared" si="0"/>
        <v xml:space="preserve">KT8FL </v>
      </c>
      <c r="D63" s="6" t="str">
        <f t="shared" si="1"/>
        <v>KT8</v>
      </c>
      <c r="E63" s="6" t="str">
        <f t="shared" si="2"/>
        <v xml:space="preserve">FL </v>
      </c>
      <c r="F63" s="6" t="str">
        <f t="shared" si="3"/>
        <v>F84679</v>
      </c>
    </row>
    <row r="64" spans="1:6" x14ac:dyDescent="0.3">
      <c r="A64" s="6">
        <v>63</v>
      </c>
      <c r="B64" s="6" t="s">
        <v>87</v>
      </c>
      <c r="C64" s="6" t="str">
        <f t="shared" si="0"/>
        <v xml:space="preserve">KT8FL </v>
      </c>
      <c r="D64" s="6" t="str">
        <f t="shared" si="1"/>
        <v>KT8</v>
      </c>
      <c r="E64" s="6" t="str">
        <f t="shared" si="2"/>
        <v xml:space="preserve">FL </v>
      </c>
      <c r="F64" s="6" t="str">
        <f t="shared" si="3"/>
        <v>515191</v>
      </c>
    </row>
    <row r="65" spans="1:6" x14ac:dyDescent="0.3">
      <c r="A65" s="6">
        <v>64</v>
      </c>
      <c r="B65" s="6" t="s">
        <v>88</v>
      </c>
      <c r="C65" s="6" t="str">
        <f t="shared" si="0"/>
        <v xml:space="preserve">KT8FL </v>
      </c>
      <c r="D65" s="6" t="str">
        <f t="shared" si="1"/>
        <v>KT8</v>
      </c>
      <c r="E65" s="6" t="str">
        <f t="shared" si="2"/>
        <v xml:space="preserve">FL </v>
      </c>
      <c r="F65" s="6" t="str">
        <f t="shared" si="3"/>
        <v>E33364</v>
      </c>
    </row>
    <row r="66" spans="1:6" x14ac:dyDescent="0.3">
      <c r="A66" s="6">
        <v>65</v>
      </c>
      <c r="B66" s="6" t="s">
        <v>89</v>
      </c>
      <c r="C66" s="6" t="str">
        <f t="shared" si="0"/>
        <v xml:space="preserve">KT8FL </v>
      </c>
      <c r="D66" s="6" t="str">
        <f t="shared" si="1"/>
        <v>KT8</v>
      </c>
      <c r="E66" s="6" t="str">
        <f t="shared" si="2"/>
        <v xml:space="preserve">FL </v>
      </c>
      <c r="F66" s="6" t="str">
        <f t="shared" si="3"/>
        <v>E48182</v>
      </c>
    </row>
    <row r="67" spans="1:6" x14ac:dyDescent="0.3">
      <c r="A67" s="6">
        <v>66</v>
      </c>
      <c r="B67" s="6" t="s">
        <v>90</v>
      </c>
      <c r="C67" s="6" t="str">
        <f t="shared" ref="C67:C130" si="4">LEFT(B67,6)</f>
        <v xml:space="preserve">KT8FL </v>
      </c>
      <c r="D67" s="6" t="str">
        <f t="shared" ref="D67:D130" si="5">LEFT(C67,3)</f>
        <v>KT8</v>
      </c>
      <c r="E67" s="6" t="str">
        <f t="shared" ref="E67:E130" si="6">RIGHT(C67,3)</f>
        <v xml:space="preserve">FL </v>
      </c>
      <c r="F67" s="6" t="str">
        <f t="shared" ref="F67:F130" si="7">RIGHT(B67,6)</f>
        <v>E06407</v>
      </c>
    </row>
    <row r="68" spans="1:6" x14ac:dyDescent="0.3">
      <c r="A68" s="6">
        <v>67</v>
      </c>
      <c r="B68" s="6" t="s">
        <v>91</v>
      </c>
      <c r="C68" s="6" t="str">
        <f t="shared" si="4"/>
        <v xml:space="preserve">KT8FL </v>
      </c>
      <c r="D68" s="6" t="str">
        <f t="shared" si="5"/>
        <v>KT8</v>
      </c>
      <c r="E68" s="6" t="str">
        <f t="shared" si="6"/>
        <v xml:space="preserve">FL </v>
      </c>
      <c r="F68" s="6" t="str">
        <f t="shared" si="7"/>
        <v>E06448</v>
      </c>
    </row>
    <row r="69" spans="1:6" x14ac:dyDescent="0.3">
      <c r="A69" s="6">
        <v>68</v>
      </c>
      <c r="B69" s="6" t="s">
        <v>92</v>
      </c>
      <c r="C69" s="6" t="str">
        <f t="shared" si="4"/>
        <v xml:space="preserve">KT8FL </v>
      </c>
      <c r="D69" s="6" t="str">
        <f t="shared" si="5"/>
        <v>KT8</v>
      </c>
      <c r="E69" s="6" t="str">
        <f t="shared" si="6"/>
        <v xml:space="preserve">FL </v>
      </c>
      <c r="F69" s="6" t="str">
        <f t="shared" si="7"/>
        <v>E06452</v>
      </c>
    </row>
    <row r="70" spans="1:6" x14ac:dyDescent="0.3">
      <c r="A70" s="6">
        <v>69</v>
      </c>
      <c r="B70" s="6" t="s">
        <v>93</v>
      </c>
      <c r="C70" s="6" t="str">
        <f t="shared" si="4"/>
        <v xml:space="preserve">KT8FL </v>
      </c>
      <c r="D70" s="6" t="str">
        <f t="shared" si="5"/>
        <v>KT8</v>
      </c>
      <c r="E70" s="6" t="str">
        <f t="shared" si="6"/>
        <v xml:space="preserve">FL </v>
      </c>
      <c r="F70" s="6" t="str">
        <f t="shared" si="7"/>
        <v>G00072</v>
      </c>
    </row>
    <row r="71" spans="1:6" x14ac:dyDescent="0.3">
      <c r="A71" s="6">
        <v>70</v>
      </c>
      <c r="B71" s="6" t="s">
        <v>94</v>
      </c>
      <c r="C71" s="6" t="str">
        <f t="shared" si="4"/>
        <v xml:space="preserve">KT8FL </v>
      </c>
      <c r="D71" s="6" t="str">
        <f t="shared" si="5"/>
        <v>KT8</v>
      </c>
      <c r="E71" s="6" t="str">
        <f t="shared" si="6"/>
        <v xml:space="preserve">FL </v>
      </c>
      <c r="F71" s="6" t="str">
        <f t="shared" si="7"/>
        <v>E48168</v>
      </c>
    </row>
    <row r="72" spans="1:6" x14ac:dyDescent="0.3">
      <c r="A72" s="6">
        <v>71</v>
      </c>
      <c r="B72" s="6" t="s">
        <v>95</v>
      </c>
      <c r="C72" s="6" t="str">
        <f t="shared" si="4"/>
        <v xml:space="preserve">KT8FL </v>
      </c>
      <c r="D72" s="6" t="str">
        <f t="shared" si="5"/>
        <v>KT8</v>
      </c>
      <c r="E72" s="6" t="str">
        <f t="shared" si="6"/>
        <v xml:space="preserve">FL </v>
      </c>
      <c r="F72" s="6" t="str">
        <f t="shared" si="7"/>
        <v>515038</v>
      </c>
    </row>
    <row r="73" spans="1:6" x14ac:dyDescent="0.3">
      <c r="A73" s="6">
        <v>72</v>
      </c>
      <c r="B73" s="6" t="s">
        <v>96</v>
      </c>
      <c r="C73" s="6" t="str">
        <f t="shared" si="4"/>
        <v xml:space="preserve">KT8FL </v>
      </c>
      <c r="D73" s="6" t="str">
        <f t="shared" si="5"/>
        <v>KT8</v>
      </c>
      <c r="E73" s="6" t="str">
        <f t="shared" si="6"/>
        <v xml:space="preserve">FL </v>
      </c>
      <c r="F73" s="6" t="str">
        <f t="shared" si="7"/>
        <v>515052</v>
      </c>
    </row>
    <row r="74" spans="1:6" x14ac:dyDescent="0.3">
      <c r="A74" s="6">
        <v>73</v>
      </c>
      <c r="B74" s="6" t="s">
        <v>97</v>
      </c>
      <c r="C74" s="6" t="str">
        <f t="shared" si="4"/>
        <v xml:space="preserve">KT8FL </v>
      </c>
      <c r="D74" s="6" t="str">
        <f t="shared" si="5"/>
        <v>KT8</v>
      </c>
      <c r="E74" s="6" t="str">
        <f t="shared" si="6"/>
        <v xml:space="preserve">FL </v>
      </c>
      <c r="F74" s="6" t="str">
        <f t="shared" si="7"/>
        <v>E33356</v>
      </c>
    </row>
    <row r="75" spans="1:6" x14ac:dyDescent="0.3">
      <c r="A75" s="6">
        <v>74</v>
      </c>
      <c r="B75" s="6" t="s">
        <v>98</v>
      </c>
      <c r="C75" s="6" t="str">
        <f t="shared" si="4"/>
        <v xml:space="preserve">KT8FL </v>
      </c>
      <c r="D75" s="6" t="str">
        <f t="shared" si="5"/>
        <v>KT8</v>
      </c>
      <c r="E75" s="6" t="str">
        <f t="shared" si="6"/>
        <v xml:space="preserve">FL </v>
      </c>
      <c r="F75" s="6" t="str">
        <f t="shared" si="7"/>
        <v>E06560</v>
      </c>
    </row>
    <row r="76" spans="1:6" x14ac:dyDescent="0.3">
      <c r="A76" s="6">
        <v>75</v>
      </c>
      <c r="B76" s="6" t="s">
        <v>99</v>
      </c>
      <c r="C76" s="6" t="str">
        <f t="shared" si="4"/>
        <v xml:space="preserve">KT8FL </v>
      </c>
      <c r="D76" s="6" t="str">
        <f t="shared" si="5"/>
        <v>KT8</v>
      </c>
      <c r="E76" s="6" t="str">
        <f t="shared" si="6"/>
        <v xml:space="preserve">FL </v>
      </c>
      <c r="F76" s="6" t="str">
        <f t="shared" si="7"/>
        <v>E48023</v>
      </c>
    </row>
    <row r="77" spans="1:6" x14ac:dyDescent="0.3">
      <c r="A77" s="6">
        <v>76</v>
      </c>
      <c r="B77" s="6" t="s">
        <v>100</v>
      </c>
      <c r="C77" s="6" t="str">
        <f t="shared" si="4"/>
        <v xml:space="preserve">KT8FL </v>
      </c>
      <c r="D77" s="6" t="str">
        <f t="shared" si="5"/>
        <v>KT8</v>
      </c>
      <c r="E77" s="6" t="str">
        <f t="shared" si="6"/>
        <v xml:space="preserve">FL </v>
      </c>
      <c r="F77" s="6" t="str">
        <f t="shared" si="7"/>
        <v>515055</v>
      </c>
    </row>
    <row r="78" spans="1:6" x14ac:dyDescent="0.3">
      <c r="A78" s="6">
        <v>77</v>
      </c>
      <c r="B78" s="6" t="s">
        <v>101</v>
      </c>
      <c r="C78" s="6" t="str">
        <f t="shared" si="4"/>
        <v xml:space="preserve">KT8FL </v>
      </c>
      <c r="D78" s="6" t="str">
        <f t="shared" si="5"/>
        <v>KT8</v>
      </c>
      <c r="E78" s="6" t="str">
        <f t="shared" si="6"/>
        <v xml:space="preserve">FL </v>
      </c>
      <c r="F78" s="6" t="str">
        <f t="shared" si="7"/>
        <v>515163</v>
      </c>
    </row>
    <row r="79" spans="1:6" x14ac:dyDescent="0.3">
      <c r="A79" s="6">
        <v>78</v>
      </c>
      <c r="B79" s="6" t="s">
        <v>102</v>
      </c>
      <c r="C79" s="6" t="str">
        <f t="shared" si="4"/>
        <v xml:space="preserve">KT8FL </v>
      </c>
      <c r="D79" s="6" t="str">
        <f t="shared" si="5"/>
        <v>KT8</v>
      </c>
      <c r="E79" s="6" t="str">
        <f t="shared" si="6"/>
        <v xml:space="preserve">FL </v>
      </c>
      <c r="F79" s="6" t="str">
        <f t="shared" si="7"/>
        <v>515069</v>
      </c>
    </row>
    <row r="80" spans="1:6" x14ac:dyDescent="0.3">
      <c r="A80" s="6">
        <v>79</v>
      </c>
      <c r="B80" s="6" t="s">
        <v>103</v>
      </c>
      <c r="C80" s="6" t="str">
        <f t="shared" si="4"/>
        <v xml:space="preserve">KT8FL </v>
      </c>
      <c r="D80" s="6" t="str">
        <f t="shared" si="5"/>
        <v>KT8</v>
      </c>
      <c r="E80" s="6" t="str">
        <f t="shared" si="6"/>
        <v xml:space="preserve">FL </v>
      </c>
      <c r="F80" s="6" t="str">
        <f t="shared" si="7"/>
        <v>515182</v>
      </c>
    </row>
    <row r="81" spans="1:6" x14ac:dyDescent="0.3">
      <c r="A81" s="6">
        <v>80</v>
      </c>
      <c r="B81" s="6" t="s">
        <v>104</v>
      </c>
      <c r="C81" s="6" t="str">
        <f t="shared" si="4"/>
        <v xml:space="preserve">KT8FL </v>
      </c>
      <c r="D81" s="6" t="str">
        <f t="shared" si="5"/>
        <v>KT8</v>
      </c>
      <c r="E81" s="6" t="str">
        <f t="shared" si="6"/>
        <v xml:space="preserve">FL </v>
      </c>
      <c r="F81" s="6" t="str">
        <f t="shared" si="7"/>
        <v>515142</v>
      </c>
    </row>
    <row r="82" spans="1:6" x14ac:dyDescent="0.3">
      <c r="A82" s="6">
        <v>81</v>
      </c>
      <c r="B82" s="6" t="s">
        <v>105</v>
      </c>
      <c r="C82" s="6" t="str">
        <f t="shared" si="4"/>
        <v xml:space="preserve">KT8FL </v>
      </c>
      <c r="D82" s="6" t="str">
        <f t="shared" si="5"/>
        <v>KT8</v>
      </c>
      <c r="E82" s="6" t="str">
        <f t="shared" si="6"/>
        <v xml:space="preserve">FL </v>
      </c>
      <c r="F82" s="6" t="str">
        <f t="shared" si="7"/>
        <v>515141</v>
      </c>
    </row>
    <row r="83" spans="1:6" x14ac:dyDescent="0.3">
      <c r="A83" s="6">
        <v>82</v>
      </c>
      <c r="B83" s="6" t="s">
        <v>106</v>
      </c>
      <c r="C83" s="6" t="str">
        <f t="shared" si="4"/>
        <v xml:space="preserve">KT8FL </v>
      </c>
      <c r="D83" s="6" t="str">
        <f t="shared" si="5"/>
        <v>KT8</v>
      </c>
      <c r="E83" s="6" t="str">
        <f t="shared" si="6"/>
        <v xml:space="preserve">FL </v>
      </c>
      <c r="F83" s="6" t="str">
        <f t="shared" si="7"/>
        <v>515194</v>
      </c>
    </row>
    <row r="84" spans="1:6" x14ac:dyDescent="0.3">
      <c r="A84" s="6">
        <v>83</v>
      </c>
      <c r="B84" s="6" t="s">
        <v>107</v>
      </c>
      <c r="C84" s="6" t="str">
        <f t="shared" si="4"/>
        <v xml:space="preserve">KT8FL </v>
      </c>
      <c r="D84" s="6" t="str">
        <f t="shared" si="5"/>
        <v>KT8</v>
      </c>
      <c r="E84" s="6" t="str">
        <f t="shared" si="6"/>
        <v xml:space="preserve">FL </v>
      </c>
      <c r="F84" s="6" t="str">
        <f t="shared" si="7"/>
        <v>515095</v>
      </c>
    </row>
    <row r="85" spans="1:6" x14ac:dyDescent="0.3">
      <c r="A85" s="6">
        <v>84</v>
      </c>
      <c r="B85" s="6" t="s">
        <v>108</v>
      </c>
      <c r="C85" s="6" t="str">
        <f t="shared" si="4"/>
        <v xml:space="preserve">KT8FL </v>
      </c>
      <c r="D85" s="6" t="str">
        <f t="shared" si="5"/>
        <v>KT8</v>
      </c>
      <c r="E85" s="6" t="str">
        <f t="shared" si="6"/>
        <v xml:space="preserve">FL </v>
      </c>
      <c r="F85" s="6" t="str">
        <f t="shared" si="7"/>
        <v>505755</v>
      </c>
    </row>
    <row r="86" spans="1:6" x14ac:dyDescent="0.3">
      <c r="A86" s="6">
        <v>85</v>
      </c>
      <c r="B86" s="6" t="s">
        <v>109</v>
      </c>
      <c r="C86" s="6" t="str">
        <f t="shared" si="4"/>
        <v xml:space="preserve">KT8FL </v>
      </c>
      <c r="D86" s="6" t="str">
        <f t="shared" si="5"/>
        <v>KT8</v>
      </c>
      <c r="E86" s="6" t="str">
        <f t="shared" si="6"/>
        <v xml:space="preserve">FL </v>
      </c>
      <c r="F86" s="6" t="str">
        <f t="shared" si="7"/>
        <v>515097</v>
      </c>
    </row>
    <row r="87" spans="1:6" x14ac:dyDescent="0.3">
      <c r="A87" s="6">
        <v>86</v>
      </c>
      <c r="B87" s="6" t="s">
        <v>110</v>
      </c>
      <c r="C87" s="6" t="str">
        <f t="shared" si="4"/>
        <v xml:space="preserve">KT8FL </v>
      </c>
      <c r="D87" s="6" t="str">
        <f t="shared" si="5"/>
        <v>KT8</v>
      </c>
      <c r="E87" s="6" t="str">
        <f t="shared" si="6"/>
        <v xml:space="preserve">FL </v>
      </c>
      <c r="F87" s="6" t="str">
        <f t="shared" si="7"/>
        <v>515167</v>
      </c>
    </row>
    <row r="88" spans="1:6" x14ac:dyDescent="0.3">
      <c r="A88" s="6">
        <v>87</v>
      </c>
      <c r="B88" s="6" t="s">
        <v>111</v>
      </c>
      <c r="C88" s="6" t="str">
        <f t="shared" si="4"/>
        <v xml:space="preserve">KT8FL </v>
      </c>
      <c r="D88" s="6" t="str">
        <f t="shared" si="5"/>
        <v>KT8</v>
      </c>
      <c r="E88" s="6" t="str">
        <f t="shared" si="6"/>
        <v xml:space="preserve">FL </v>
      </c>
      <c r="F88" s="6" t="str">
        <f t="shared" si="7"/>
        <v>515096</v>
      </c>
    </row>
    <row r="89" spans="1:6" x14ac:dyDescent="0.3">
      <c r="A89" s="6">
        <v>88</v>
      </c>
      <c r="B89" s="6" t="s">
        <v>112</v>
      </c>
      <c r="C89" s="6" t="str">
        <f t="shared" si="4"/>
        <v xml:space="preserve">KT8FL </v>
      </c>
      <c r="D89" s="6" t="str">
        <f t="shared" si="5"/>
        <v>KT8</v>
      </c>
      <c r="E89" s="6" t="str">
        <f t="shared" si="6"/>
        <v xml:space="preserve">FL </v>
      </c>
      <c r="F89" s="6" t="str">
        <f t="shared" si="7"/>
        <v>515176</v>
      </c>
    </row>
    <row r="90" spans="1:6" x14ac:dyDescent="0.3">
      <c r="A90" s="6">
        <v>89</v>
      </c>
      <c r="B90" s="6" t="s">
        <v>113</v>
      </c>
      <c r="C90" s="6" t="str">
        <f t="shared" si="4"/>
        <v xml:space="preserve">KT8FL </v>
      </c>
      <c r="D90" s="6" t="str">
        <f t="shared" si="5"/>
        <v>KT8</v>
      </c>
      <c r="E90" s="6" t="str">
        <f t="shared" si="6"/>
        <v xml:space="preserve">FL </v>
      </c>
      <c r="F90" s="6" t="str">
        <f t="shared" si="7"/>
        <v>515061</v>
      </c>
    </row>
    <row r="91" spans="1:6" x14ac:dyDescent="0.3">
      <c r="A91" s="6">
        <v>90</v>
      </c>
      <c r="B91" s="6" t="s">
        <v>114</v>
      </c>
      <c r="C91" s="6" t="str">
        <f t="shared" si="4"/>
        <v xml:space="preserve">KT8FL </v>
      </c>
      <c r="D91" s="6" t="str">
        <f t="shared" si="5"/>
        <v>KT8</v>
      </c>
      <c r="E91" s="6" t="str">
        <f t="shared" si="6"/>
        <v xml:space="preserve">FL </v>
      </c>
      <c r="F91" s="6" t="str">
        <f t="shared" si="7"/>
        <v>515154</v>
      </c>
    </row>
    <row r="92" spans="1:6" x14ac:dyDescent="0.3">
      <c r="A92" s="6">
        <v>91</v>
      </c>
      <c r="B92" s="6" t="s">
        <v>115</v>
      </c>
      <c r="C92" s="6" t="str">
        <f t="shared" si="4"/>
        <v xml:space="preserve">KT8FL </v>
      </c>
      <c r="D92" s="6" t="str">
        <f t="shared" si="5"/>
        <v>KT8</v>
      </c>
      <c r="E92" s="6" t="str">
        <f t="shared" si="6"/>
        <v xml:space="preserve">FL </v>
      </c>
      <c r="F92" s="6" t="str">
        <f t="shared" si="7"/>
        <v>515138</v>
      </c>
    </row>
    <row r="93" spans="1:6" x14ac:dyDescent="0.3">
      <c r="A93" s="6">
        <v>92</v>
      </c>
      <c r="B93" s="6" t="s">
        <v>116</v>
      </c>
      <c r="C93" s="6" t="str">
        <f t="shared" si="4"/>
        <v xml:space="preserve">KT8FL </v>
      </c>
      <c r="D93" s="6" t="str">
        <f t="shared" si="5"/>
        <v>KT8</v>
      </c>
      <c r="E93" s="6" t="str">
        <f t="shared" si="6"/>
        <v xml:space="preserve">FL </v>
      </c>
      <c r="F93" s="6" t="str">
        <f t="shared" si="7"/>
        <v>515151</v>
      </c>
    </row>
    <row r="94" spans="1:6" x14ac:dyDescent="0.3">
      <c r="A94" s="6">
        <v>93</v>
      </c>
      <c r="B94" s="6" t="s">
        <v>117</v>
      </c>
      <c r="C94" s="6" t="str">
        <f t="shared" si="4"/>
        <v xml:space="preserve">KT8FL </v>
      </c>
      <c r="D94" s="6" t="str">
        <f t="shared" si="5"/>
        <v>KT8</v>
      </c>
      <c r="E94" s="6" t="str">
        <f t="shared" si="6"/>
        <v xml:space="preserve">FL </v>
      </c>
      <c r="F94" s="6" t="str">
        <f t="shared" si="7"/>
        <v>515058</v>
      </c>
    </row>
    <row r="95" spans="1:6" x14ac:dyDescent="0.3">
      <c r="A95" s="6">
        <v>94</v>
      </c>
      <c r="B95" s="6" t="s">
        <v>118</v>
      </c>
      <c r="C95" s="6" t="str">
        <f t="shared" si="4"/>
        <v xml:space="preserve">KT8FL </v>
      </c>
      <c r="D95" s="6" t="str">
        <f t="shared" si="5"/>
        <v>KT8</v>
      </c>
      <c r="E95" s="6" t="str">
        <f t="shared" si="6"/>
        <v xml:space="preserve">FL </v>
      </c>
      <c r="F95" s="6" t="str">
        <f t="shared" si="7"/>
        <v>515073</v>
      </c>
    </row>
    <row r="96" spans="1:6" x14ac:dyDescent="0.3">
      <c r="A96" s="6">
        <v>95</v>
      </c>
      <c r="B96" s="6" t="s">
        <v>119</v>
      </c>
      <c r="C96" s="6" t="str">
        <f t="shared" si="4"/>
        <v xml:space="preserve">KT8BL </v>
      </c>
      <c r="D96" s="6" t="str">
        <f t="shared" si="5"/>
        <v>KT8</v>
      </c>
      <c r="E96" s="6" t="str">
        <f t="shared" si="6"/>
        <v xml:space="preserve">BL </v>
      </c>
      <c r="F96" s="6" t="str">
        <f t="shared" si="7"/>
        <v>291194</v>
      </c>
    </row>
    <row r="97" spans="1:6" x14ac:dyDescent="0.3">
      <c r="A97" s="6">
        <v>96</v>
      </c>
      <c r="B97" s="6" t="s">
        <v>120</v>
      </c>
      <c r="C97" s="6" t="str">
        <f t="shared" si="4"/>
        <v xml:space="preserve">KT8BL </v>
      </c>
      <c r="D97" s="6" t="str">
        <f t="shared" si="5"/>
        <v>KT8</v>
      </c>
      <c r="E97" s="6" t="str">
        <f t="shared" si="6"/>
        <v xml:space="preserve">BL </v>
      </c>
      <c r="F97" s="6" t="str">
        <f t="shared" si="7"/>
        <v>515257</v>
      </c>
    </row>
    <row r="98" spans="1:6" x14ac:dyDescent="0.3">
      <c r="A98" s="6">
        <v>97</v>
      </c>
      <c r="B98" s="6" t="s">
        <v>121</v>
      </c>
      <c r="C98" s="6" t="str">
        <f t="shared" si="4"/>
        <v xml:space="preserve">KT8FL </v>
      </c>
      <c r="D98" s="6" t="str">
        <f t="shared" si="5"/>
        <v>KT8</v>
      </c>
      <c r="E98" s="6" t="str">
        <f t="shared" si="6"/>
        <v xml:space="preserve">FL </v>
      </c>
      <c r="F98" s="6" t="str">
        <f t="shared" si="7"/>
        <v>515190</v>
      </c>
    </row>
    <row r="99" spans="1:6" x14ac:dyDescent="0.3">
      <c r="A99" s="6">
        <v>98</v>
      </c>
      <c r="B99" s="6" t="s">
        <v>122</v>
      </c>
      <c r="C99" s="6" t="str">
        <f t="shared" si="4"/>
        <v xml:space="preserve">KT8FL </v>
      </c>
      <c r="D99" s="6" t="str">
        <f t="shared" si="5"/>
        <v>KT8</v>
      </c>
      <c r="E99" s="6" t="str">
        <f t="shared" si="6"/>
        <v xml:space="preserve">FL </v>
      </c>
      <c r="F99" s="6" t="str">
        <f t="shared" si="7"/>
        <v>E06537</v>
      </c>
    </row>
    <row r="100" spans="1:6" x14ac:dyDescent="0.3">
      <c r="A100" s="6">
        <v>99</v>
      </c>
      <c r="B100" s="6" t="s">
        <v>123</v>
      </c>
      <c r="C100" s="6" t="str">
        <f t="shared" si="4"/>
        <v xml:space="preserve">KT8FL </v>
      </c>
      <c r="D100" s="6" t="str">
        <f t="shared" si="5"/>
        <v>KT8</v>
      </c>
      <c r="E100" s="6" t="str">
        <f t="shared" si="6"/>
        <v xml:space="preserve">FL </v>
      </c>
      <c r="F100" s="6" t="str">
        <f t="shared" si="7"/>
        <v>505754</v>
      </c>
    </row>
    <row r="101" spans="1:6" x14ac:dyDescent="0.3">
      <c r="A101" s="6">
        <v>100</v>
      </c>
      <c r="B101" s="6" t="s">
        <v>124</v>
      </c>
      <c r="C101" s="6" t="str">
        <f t="shared" si="4"/>
        <v xml:space="preserve">KT8FL </v>
      </c>
      <c r="D101" s="6" t="str">
        <f t="shared" si="5"/>
        <v>KT8</v>
      </c>
      <c r="E101" s="6" t="str">
        <f t="shared" si="6"/>
        <v xml:space="preserve">FL </v>
      </c>
      <c r="F101" s="6" t="str">
        <f t="shared" si="7"/>
        <v>E33231</v>
      </c>
    </row>
    <row r="102" spans="1:6" x14ac:dyDescent="0.3">
      <c r="A102" s="6">
        <v>101</v>
      </c>
      <c r="B102" s="6" t="s">
        <v>125</v>
      </c>
      <c r="C102" s="6" t="str">
        <f t="shared" si="4"/>
        <v xml:space="preserve">KT8FL </v>
      </c>
      <c r="D102" s="6" t="str">
        <f t="shared" si="5"/>
        <v>KT8</v>
      </c>
      <c r="E102" s="6" t="str">
        <f t="shared" si="6"/>
        <v xml:space="preserve">FL </v>
      </c>
      <c r="F102" s="6" t="str">
        <f t="shared" si="7"/>
        <v>E06463</v>
      </c>
    </row>
    <row r="103" spans="1:6" x14ac:dyDescent="0.3">
      <c r="A103" s="6">
        <v>102</v>
      </c>
      <c r="B103" s="6" t="s">
        <v>126</v>
      </c>
      <c r="C103" s="6" t="str">
        <f t="shared" si="4"/>
        <v xml:space="preserve">KT8FL </v>
      </c>
      <c r="D103" s="6" t="str">
        <f t="shared" si="5"/>
        <v>KT8</v>
      </c>
      <c r="E103" s="6" t="str">
        <f t="shared" si="6"/>
        <v xml:space="preserve">FL </v>
      </c>
      <c r="F103" s="6" t="str">
        <f t="shared" si="7"/>
        <v>G00064</v>
      </c>
    </row>
    <row r="104" spans="1:6" x14ac:dyDescent="0.3">
      <c r="A104" s="6">
        <v>103</v>
      </c>
      <c r="B104" s="6" t="s">
        <v>127</v>
      </c>
      <c r="C104" s="6" t="str">
        <f t="shared" si="4"/>
        <v xml:space="preserve">KT8FL </v>
      </c>
      <c r="D104" s="6" t="str">
        <f t="shared" si="5"/>
        <v>KT8</v>
      </c>
      <c r="E104" s="6" t="str">
        <f t="shared" si="6"/>
        <v xml:space="preserve">FL </v>
      </c>
      <c r="F104" s="6" t="str">
        <f t="shared" si="7"/>
        <v>E48032</v>
      </c>
    </row>
    <row r="105" spans="1:6" x14ac:dyDescent="0.3">
      <c r="A105" s="6">
        <v>104</v>
      </c>
      <c r="B105" s="6" t="s">
        <v>128</v>
      </c>
      <c r="C105" s="6" t="str">
        <f t="shared" si="4"/>
        <v xml:space="preserve">KT8FL </v>
      </c>
      <c r="D105" s="6" t="str">
        <f t="shared" si="5"/>
        <v>KT8</v>
      </c>
      <c r="E105" s="6" t="str">
        <f t="shared" si="6"/>
        <v xml:space="preserve">FL </v>
      </c>
      <c r="F105" s="6" t="str">
        <f t="shared" si="7"/>
        <v>515171</v>
      </c>
    </row>
    <row r="106" spans="1:6" x14ac:dyDescent="0.3">
      <c r="A106" s="6">
        <v>105</v>
      </c>
      <c r="B106" s="6" t="s">
        <v>129</v>
      </c>
      <c r="C106" s="6" t="str">
        <f t="shared" si="4"/>
        <v xml:space="preserve">KT8FL </v>
      </c>
      <c r="D106" s="6" t="str">
        <f t="shared" si="5"/>
        <v>KT8</v>
      </c>
      <c r="E106" s="6" t="str">
        <f t="shared" si="6"/>
        <v xml:space="preserve">FL </v>
      </c>
      <c r="F106" s="6" t="str">
        <f t="shared" si="7"/>
        <v>G00065</v>
      </c>
    </row>
    <row r="107" spans="1:6" x14ac:dyDescent="0.3">
      <c r="A107" s="6">
        <v>106</v>
      </c>
      <c r="B107" s="6" t="s">
        <v>130</v>
      </c>
      <c r="C107" s="6" t="str">
        <f t="shared" si="4"/>
        <v xml:space="preserve">KT8FL </v>
      </c>
      <c r="D107" s="6" t="str">
        <f t="shared" si="5"/>
        <v>KT8</v>
      </c>
      <c r="E107" s="6" t="str">
        <f t="shared" si="6"/>
        <v xml:space="preserve">FL </v>
      </c>
      <c r="F107" s="6" t="str">
        <f t="shared" si="7"/>
        <v>515169</v>
      </c>
    </row>
    <row r="108" spans="1:6" x14ac:dyDescent="0.3">
      <c r="A108" s="6">
        <v>107</v>
      </c>
      <c r="B108" s="6" t="s">
        <v>131</v>
      </c>
      <c r="C108" s="6" t="str">
        <f t="shared" si="4"/>
        <v xml:space="preserve">KT8FL </v>
      </c>
      <c r="D108" s="6" t="str">
        <f t="shared" si="5"/>
        <v>KT8</v>
      </c>
      <c r="E108" s="6" t="str">
        <f t="shared" si="6"/>
        <v xml:space="preserve">FL </v>
      </c>
      <c r="F108" s="6" t="str">
        <f t="shared" si="7"/>
        <v>G00074</v>
      </c>
    </row>
    <row r="109" spans="1:6" x14ac:dyDescent="0.3">
      <c r="A109" s="6">
        <v>108</v>
      </c>
      <c r="B109" s="6" t="s">
        <v>132</v>
      </c>
      <c r="C109" s="6" t="str">
        <f t="shared" si="4"/>
        <v xml:space="preserve">KT8FL </v>
      </c>
      <c r="D109" s="6" t="str">
        <f t="shared" si="5"/>
        <v>KT8</v>
      </c>
      <c r="E109" s="6" t="str">
        <f t="shared" si="6"/>
        <v xml:space="preserve">FL </v>
      </c>
      <c r="F109" s="6" t="str">
        <f t="shared" si="7"/>
        <v>G00200</v>
      </c>
    </row>
    <row r="110" spans="1:6" x14ac:dyDescent="0.3">
      <c r="A110" s="6">
        <v>109</v>
      </c>
      <c r="B110" s="6" t="s">
        <v>133</v>
      </c>
      <c r="C110" s="6" t="str">
        <f t="shared" si="4"/>
        <v xml:space="preserve">KT8FL </v>
      </c>
      <c r="D110" s="6" t="str">
        <f t="shared" si="5"/>
        <v>KT8</v>
      </c>
      <c r="E110" s="6" t="str">
        <f t="shared" si="6"/>
        <v xml:space="preserve">FL </v>
      </c>
      <c r="F110" s="6" t="str">
        <f t="shared" si="7"/>
        <v>F96979</v>
      </c>
    </row>
    <row r="111" spans="1:6" x14ac:dyDescent="0.3">
      <c r="A111" s="6">
        <v>110</v>
      </c>
      <c r="B111" s="6" t="s">
        <v>134</v>
      </c>
      <c r="C111" s="6" t="str">
        <f t="shared" si="4"/>
        <v xml:space="preserve">KT8FL </v>
      </c>
      <c r="D111" s="6" t="str">
        <f t="shared" si="5"/>
        <v>KT8</v>
      </c>
      <c r="E111" s="6" t="str">
        <f t="shared" si="6"/>
        <v xml:space="preserve">FL </v>
      </c>
      <c r="F111" s="6" t="str">
        <f t="shared" si="7"/>
        <v>F96878</v>
      </c>
    </row>
    <row r="112" spans="1:6" x14ac:dyDescent="0.3">
      <c r="A112" s="6">
        <v>111</v>
      </c>
      <c r="B112" s="6" t="s">
        <v>135</v>
      </c>
      <c r="C112" s="6" t="str">
        <f t="shared" si="4"/>
        <v xml:space="preserve">KT8FL </v>
      </c>
      <c r="D112" s="6" t="str">
        <f t="shared" si="5"/>
        <v>KT8</v>
      </c>
      <c r="E112" s="6" t="str">
        <f t="shared" si="6"/>
        <v xml:space="preserve">FL </v>
      </c>
      <c r="F112" s="6" t="str">
        <f t="shared" si="7"/>
        <v>F96700</v>
      </c>
    </row>
    <row r="113" spans="1:6" x14ac:dyDescent="0.3">
      <c r="A113" s="6">
        <v>112</v>
      </c>
      <c r="B113" s="6" t="s">
        <v>136</v>
      </c>
      <c r="C113" s="6" t="str">
        <f t="shared" si="4"/>
        <v xml:space="preserve">KT8FL </v>
      </c>
      <c r="D113" s="6" t="str">
        <f t="shared" si="5"/>
        <v>KT8</v>
      </c>
      <c r="E113" s="6" t="str">
        <f t="shared" si="6"/>
        <v xml:space="preserve">FL </v>
      </c>
      <c r="F113" s="6" t="str">
        <f t="shared" si="7"/>
        <v>515165</v>
      </c>
    </row>
    <row r="114" spans="1:6" x14ac:dyDescent="0.3">
      <c r="A114" s="6">
        <v>113</v>
      </c>
      <c r="B114" s="6" t="s">
        <v>137</v>
      </c>
      <c r="C114" s="6" t="str">
        <f t="shared" si="4"/>
        <v xml:space="preserve">KT8FL </v>
      </c>
      <c r="D114" s="6" t="str">
        <f t="shared" si="5"/>
        <v>KT8</v>
      </c>
      <c r="E114" s="6" t="str">
        <f t="shared" si="6"/>
        <v xml:space="preserve">FL </v>
      </c>
      <c r="F114" s="6" t="str">
        <f t="shared" si="7"/>
        <v>515049</v>
      </c>
    </row>
    <row r="115" spans="1:6" x14ac:dyDescent="0.3">
      <c r="A115" s="6">
        <v>114</v>
      </c>
      <c r="B115" s="6" t="s">
        <v>138</v>
      </c>
      <c r="C115" s="6" t="str">
        <f t="shared" si="4"/>
        <v xml:space="preserve">KT8FL </v>
      </c>
      <c r="D115" s="6" t="str">
        <f t="shared" si="5"/>
        <v>KT8</v>
      </c>
      <c r="E115" s="6" t="str">
        <f t="shared" si="6"/>
        <v xml:space="preserve">FL </v>
      </c>
      <c r="F115" s="6" t="str">
        <f t="shared" si="7"/>
        <v>515156</v>
      </c>
    </row>
    <row r="116" spans="1:6" x14ac:dyDescent="0.3">
      <c r="A116" s="6">
        <v>115</v>
      </c>
      <c r="B116" s="6" t="s">
        <v>139</v>
      </c>
      <c r="C116" s="6" t="str">
        <f t="shared" si="4"/>
        <v xml:space="preserve">KT8FL </v>
      </c>
      <c r="D116" s="6" t="str">
        <f t="shared" si="5"/>
        <v>KT8</v>
      </c>
      <c r="E116" s="6" t="str">
        <f t="shared" si="6"/>
        <v xml:space="preserve">FL </v>
      </c>
      <c r="F116" s="6" t="str">
        <f t="shared" si="7"/>
        <v>E06559</v>
      </c>
    </row>
    <row r="117" spans="1:6" x14ac:dyDescent="0.3">
      <c r="A117" s="6">
        <v>116</v>
      </c>
      <c r="B117" s="6" t="s">
        <v>140</v>
      </c>
      <c r="C117" s="6" t="str">
        <f t="shared" si="4"/>
        <v xml:space="preserve">KT8FL </v>
      </c>
      <c r="D117" s="6" t="str">
        <f t="shared" si="5"/>
        <v>KT8</v>
      </c>
      <c r="E117" s="6" t="str">
        <f t="shared" si="6"/>
        <v xml:space="preserve">FL </v>
      </c>
      <c r="F117" s="6" t="str">
        <f t="shared" si="7"/>
        <v>E33288</v>
      </c>
    </row>
    <row r="118" spans="1:6" x14ac:dyDescent="0.3">
      <c r="A118" s="6">
        <v>117</v>
      </c>
      <c r="B118" s="6" t="s">
        <v>141</v>
      </c>
      <c r="C118" s="6" t="str">
        <f t="shared" si="4"/>
        <v xml:space="preserve">KT8FL </v>
      </c>
      <c r="D118" s="6" t="str">
        <f t="shared" si="5"/>
        <v>KT8</v>
      </c>
      <c r="E118" s="6" t="str">
        <f t="shared" si="6"/>
        <v xml:space="preserve">FL </v>
      </c>
      <c r="F118" s="6" t="str">
        <f t="shared" si="7"/>
        <v>E48173</v>
      </c>
    </row>
    <row r="119" spans="1:6" x14ac:dyDescent="0.3">
      <c r="A119" s="6">
        <v>118</v>
      </c>
      <c r="B119" s="6" t="s">
        <v>142</v>
      </c>
      <c r="C119" s="6" t="str">
        <f t="shared" si="4"/>
        <v xml:space="preserve">KT8FL </v>
      </c>
      <c r="D119" s="6" t="str">
        <f t="shared" si="5"/>
        <v>KT8</v>
      </c>
      <c r="E119" s="6" t="str">
        <f t="shared" si="6"/>
        <v xml:space="preserve">FL </v>
      </c>
      <c r="F119" s="6" t="str">
        <f t="shared" si="7"/>
        <v>515060</v>
      </c>
    </row>
    <row r="120" spans="1:6" x14ac:dyDescent="0.3">
      <c r="A120" s="6">
        <v>119</v>
      </c>
      <c r="B120" s="6" t="s">
        <v>143</v>
      </c>
      <c r="C120" s="6" t="str">
        <f t="shared" si="4"/>
        <v xml:space="preserve">KT8FL </v>
      </c>
      <c r="D120" s="6" t="str">
        <f t="shared" si="5"/>
        <v>KT8</v>
      </c>
      <c r="E120" s="6" t="str">
        <f t="shared" si="6"/>
        <v xml:space="preserve">FL </v>
      </c>
      <c r="F120" s="6" t="str">
        <f t="shared" si="7"/>
        <v>E33359</v>
      </c>
    </row>
    <row r="121" spans="1:6" x14ac:dyDescent="0.3">
      <c r="A121" s="6">
        <v>120</v>
      </c>
      <c r="B121" s="6" t="s">
        <v>144</v>
      </c>
      <c r="C121" s="6" t="str">
        <f t="shared" si="4"/>
        <v xml:space="preserve">KT8FL </v>
      </c>
      <c r="D121" s="6" t="str">
        <f t="shared" si="5"/>
        <v>KT8</v>
      </c>
      <c r="E121" s="6" t="str">
        <f t="shared" si="6"/>
        <v xml:space="preserve">FL </v>
      </c>
      <c r="F121" s="6" t="str">
        <f t="shared" si="7"/>
        <v>E06447</v>
      </c>
    </row>
    <row r="122" spans="1:6" x14ac:dyDescent="0.3">
      <c r="A122" s="6">
        <v>121</v>
      </c>
      <c r="B122" s="6" t="s">
        <v>145</v>
      </c>
      <c r="C122" s="6" t="str">
        <f t="shared" si="4"/>
        <v xml:space="preserve">KT8FL </v>
      </c>
      <c r="D122" s="6" t="str">
        <f t="shared" si="5"/>
        <v>KT8</v>
      </c>
      <c r="E122" s="6" t="str">
        <f t="shared" si="6"/>
        <v xml:space="preserve">FL </v>
      </c>
      <c r="F122" s="6" t="str">
        <f t="shared" si="7"/>
        <v>515183</v>
      </c>
    </row>
    <row r="123" spans="1:6" x14ac:dyDescent="0.3">
      <c r="A123" s="6">
        <v>122</v>
      </c>
      <c r="B123" s="6" t="s">
        <v>146</v>
      </c>
      <c r="C123" s="6" t="str">
        <f t="shared" si="4"/>
        <v xml:space="preserve">KT8FL </v>
      </c>
      <c r="D123" s="6" t="str">
        <f t="shared" si="5"/>
        <v>KT8</v>
      </c>
      <c r="E123" s="6" t="str">
        <f t="shared" si="6"/>
        <v xml:space="preserve">FL </v>
      </c>
      <c r="F123" s="6" t="str">
        <f t="shared" si="7"/>
        <v>F96699</v>
      </c>
    </row>
    <row r="124" spans="1:6" x14ac:dyDescent="0.3">
      <c r="A124" s="6">
        <v>123</v>
      </c>
      <c r="B124" s="6" t="s">
        <v>147</v>
      </c>
      <c r="C124" s="6" t="str">
        <f t="shared" si="4"/>
        <v xml:space="preserve">KT8FL </v>
      </c>
      <c r="D124" s="6" t="str">
        <f t="shared" si="5"/>
        <v>KT8</v>
      </c>
      <c r="E124" s="6" t="str">
        <f t="shared" si="6"/>
        <v xml:space="preserve">FL </v>
      </c>
      <c r="F124" s="6" t="str">
        <f t="shared" si="7"/>
        <v>G00196</v>
      </c>
    </row>
    <row r="125" spans="1:6" x14ac:dyDescent="0.3">
      <c r="A125" s="6">
        <v>124</v>
      </c>
      <c r="B125" s="6" t="s">
        <v>148</v>
      </c>
      <c r="C125" s="6" t="str">
        <f t="shared" si="4"/>
        <v xml:space="preserve">KT8FL </v>
      </c>
      <c r="D125" s="6" t="str">
        <f t="shared" si="5"/>
        <v>KT8</v>
      </c>
      <c r="E125" s="6" t="str">
        <f t="shared" si="6"/>
        <v xml:space="preserve">FL </v>
      </c>
      <c r="F125" s="6" t="str">
        <f t="shared" si="7"/>
        <v>515162</v>
      </c>
    </row>
    <row r="126" spans="1:6" x14ac:dyDescent="0.3">
      <c r="A126" s="6">
        <v>125</v>
      </c>
      <c r="B126" s="6" t="s">
        <v>149</v>
      </c>
      <c r="C126" s="6" t="str">
        <f t="shared" si="4"/>
        <v xml:space="preserve">KT8FL </v>
      </c>
      <c r="D126" s="6" t="str">
        <f t="shared" si="5"/>
        <v>KT8</v>
      </c>
      <c r="E126" s="6" t="str">
        <f t="shared" si="6"/>
        <v xml:space="preserve">FL </v>
      </c>
      <c r="F126" s="6" t="str">
        <f t="shared" si="7"/>
        <v>E06541</v>
      </c>
    </row>
    <row r="127" spans="1:6" x14ac:dyDescent="0.3">
      <c r="A127" s="6">
        <v>126</v>
      </c>
      <c r="B127" s="6" t="s">
        <v>150</v>
      </c>
      <c r="C127" s="6" t="str">
        <f t="shared" si="4"/>
        <v xml:space="preserve">KT8FL </v>
      </c>
      <c r="D127" s="6" t="str">
        <f t="shared" si="5"/>
        <v>KT8</v>
      </c>
      <c r="E127" s="6" t="str">
        <f t="shared" si="6"/>
        <v xml:space="preserve">FL </v>
      </c>
      <c r="F127" s="6" t="str">
        <f t="shared" si="7"/>
        <v>F84673</v>
      </c>
    </row>
    <row r="128" spans="1:6" x14ac:dyDescent="0.3">
      <c r="A128" s="6">
        <v>127</v>
      </c>
      <c r="B128" s="6" t="s">
        <v>151</v>
      </c>
      <c r="C128" s="6" t="str">
        <f t="shared" si="4"/>
        <v xml:space="preserve">KT8FL </v>
      </c>
      <c r="D128" s="6" t="str">
        <f t="shared" si="5"/>
        <v>KT8</v>
      </c>
      <c r="E128" s="6" t="str">
        <f t="shared" si="6"/>
        <v xml:space="preserve">FL </v>
      </c>
      <c r="F128" s="6" t="str">
        <f t="shared" si="7"/>
        <v>F96879</v>
      </c>
    </row>
    <row r="129" spans="1:6" x14ac:dyDescent="0.3">
      <c r="A129" s="6">
        <v>128</v>
      </c>
      <c r="B129" s="6" t="s">
        <v>152</v>
      </c>
      <c r="C129" s="6" t="str">
        <f t="shared" si="4"/>
        <v xml:space="preserve">KT8FL </v>
      </c>
      <c r="D129" s="6" t="str">
        <f t="shared" si="5"/>
        <v>KT8</v>
      </c>
      <c r="E129" s="6" t="str">
        <f t="shared" si="6"/>
        <v xml:space="preserve">FL </v>
      </c>
      <c r="F129" s="6" t="str">
        <f t="shared" si="7"/>
        <v>E25975</v>
      </c>
    </row>
    <row r="130" spans="1:6" x14ac:dyDescent="0.3">
      <c r="A130" s="6">
        <v>129</v>
      </c>
      <c r="B130" s="6" t="s">
        <v>153</v>
      </c>
      <c r="C130" s="6" t="str">
        <f t="shared" si="4"/>
        <v xml:space="preserve">KT8FL </v>
      </c>
      <c r="D130" s="6" t="str">
        <f t="shared" si="5"/>
        <v>KT8</v>
      </c>
      <c r="E130" s="6" t="str">
        <f t="shared" si="6"/>
        <v xml:space="preserve">FL </v>
      </c>
      <c r="F130" s="6" t="str">
        <f t="shared" si="7"/>
        <v>E06502</v>
      </c>
    </row>
    <row r="131" spans="1:6" x14ac:dyDescent="0.3">
      <c r="A131" s="6">
        <v>130</v>
      </c>
      <c r="B131" s="6" t="s">
        <v>154</v>
      </c>
      <c r="C131" s="6" t="str">
        <f t="shared" ref="C131:C194" si="8">LEFT(B131,6)</f>
        <v xml:space="preserve">KT8FL </v>
      </c>
      <c r="D131" s="6" t="str">
        <f t="shared" ref="D131:D194" si="9">LEFT(C131,3)</f>
        <v>KT8</v>
      </c>
      <c r="E131" s="6" t="str">
        <f t="shared" ref="E131:E194" si="10">RIGHT(C131,3)</f>
        <v xml:space="preserve">FL </v>
      </c>
      <c r="F131" s="6" t="str">
        <f t="shared" ref="F131:F194" si="11">RIGHT(B131,6)</f>
        <v>F84721</v>
      </c>
    </row>
    <row r="132" spans="1:6" x14ac:dyDescent="0.3">
      <c r="A132" s="6">
        <v>131</v>
      </c>
      <c r="B132" s="6" t="s">
        <v>155</v>
      </c>
      <c r="C132" s="6" t="str">
        <f t="shared" si="8"/>
        <v xml:space="preserve">KT8FL </v>
      </c>
      <c r="D132" s="6" t="str">
        <f t="shared" si="9"/>
        <v>KT8</v>
      </c>
      <c r="E132" s="6" t="str">
        <f t="shared" si="10"/>
        <v xml:space="preserve">FL </v>
      </c>
      <c r="F132" s="6" t="str">
        <f t="shared" si="11"/>
        <v>E48181</v>
      </c>
    </row>
    <row r="133" spans="1:6" x14ac:dyDescent="0.3">
      <c r="A133" s="6">
        <v>132</v>
      </c>
      <c r="B133" s="6" t="s">
        <v>156</v>
      </c>
      <c r="C133" s="6" t="str">
        <f t="shared" si="8"/>
        <v xml:space="preserve">KT8FL </v>
      </c>
      <c r="D133" s="6" t="str">
        <f t="shared" si="9"/>
        <v>KT8</v>
      </c>
      <c r="E133" s="6" t="str">
        <f t="shared" si="10"/>
        <v xml:space="preserve">FL </v>
      </c>
      <c r="F133" s="6" t="str">
        <f t="shared" si="11"/>
        <v>F84675</v>
      </c>
    </row>
    <row r="134" spans="1:6" x14ac:dyDescent="0.3">
      <c r="A134" s="6">
        <v>133</v>
      </c>
      <c r="B134" s="6" t="s">
        <v>157</v>
      </c>
      <c r="C134" s="6" t="str">
        <f t="shared" si="8"/>
        <v xml:space="preserve">KT8FL </v>
      </c>
      <c r="D134" s="6" t="str">
        <f t="shared" si="9"/>
        <v>KT8</v>
      </c>
      <c r="E134" s="6" t="str">
        <f t="shared" si="10"/>
        <v xml:space="preserve">FL </v>
      </c>
      <c r="F134" s="6" t="str">
        <f t="shared" si="11"/>
        <v>515160</v>
      </c>
    </row>
    <row r="135" spans="1:6" x14ac:dyDescent="0.3">
      <c r="A135" s="6">
        <v>134</v>
      </c>
      <c r="B135" s="6" t="s">
        <v>158</v>
      </c>
      <c r="C135" s="6" t="str">
        <f t="shared" si="8"/>
        <v xml:space="preserve">KT8FL </v>
      </c>
      <c r="D135" s="6" t="str">
        <f t="shared" si="9"/>
        <v>KT8</v>
      </c>
      <c r="E135" s="6" t="str">
        <f t="shared" si="10"/>
        <v xml:space="preserve">FL </v>
      </c>
      <c r="F135" s="6" t="str">
        <f t="shared" si="11"/>
        <v>E48150</v>
      </c>
    </row>
    <row r="136" spans="1:6" x14ac:dyDescent="0.3">
      <c r="A136" s="6">
        <v>135</v>
      </c>
      <c r="B136" s="6" t="s">
        <v>159</v>
      </c>
      <c r="C136" s="6" t="str">
        <f t="shared" si="8"/>
        <v xml:space="preserve">KT8FL </v>
      </c>
      <c r="D136" s="6" t="str">
        <f t="shared" si="9"/>
        <v>KT8</v>
      </c>
      <c r="E136" s="6" t="str">
        <f t="shared" si="10"/>
        <v xml:space="preserve">FL </v>
      </c>
      <c r="F136" s="6" t="str">
        <f t="shared" si="11"/>
        <v>F96919</v>
      </c>
    </row>
    <row r="137" spans="1:6" x14ac:dyDescent="0.3">
      <c r="A137" s="6">
        <v>136</v>
      </c>
      <c r="B137" s="6" t="s">
        <v>160</v>
      </c>
      <c r="C137" s="6" t="str">
        <f t="shared" si="8"/>
        <v xml:space="preserve">KT8FL </v>
      </c>
      <c r="D137" s="6" t="str">
        <f t="shared" si="9"/>
        <v>KT8</v>
      </c>
      <c r="E137" s="6" t="str">
        <f t="shared" si="10"/>
        <v xml:space="preserve">FL </v>
      </c>
      <c r="F137" s="6" t="str">
        <f t="shared" si="11"/>
        <v>E48026</v>
      </c>
    </row>
    <row r="138" spans="1:6" x14ac:dyDescent="0.3">
      <c r="A138" s="6">
        <v>137</v>
      </c>
      <c r="B138" s="6" t="s">
        <v>161</v>
      </c>
      <c r="C138" s="6" t="str">
        <f t="shared" si="8"/>
        <v xml:space="preserve">KT8FL </v>
      </c>
      <c r="D138" s="6" t="str">
        <f t="shared" si="9"/>
        <v>KT8</v>
      </c>
      <c r="E138" s="6" t="str">
        <f t="shared" si="10"/>
        <v xml:space="preserve">FL </v>
      </c>
      <c r="F138" s="6" t="str">
        <f t="shared" si="11"/>
        <v>E06451</v>
      </c>
    </row>
    <row r="139" spans="1:6" x14ac:dyDescent="0.3">
      <c r="A139" s="6">
        <v>138</v>
      </c>
      <c r="B139" s="6" t="s">
        <v>162</v>
      </c>
      <c r="C139" s="6" t="str">
        <f t="shared" si="8"/>
        <v xml:space="preserve">KT8FL </v>
      </c>
      <c r="D139" s="6" t="str">
        <f t="shared" si="9"/>
        <v>KT8</v>
      </c>
      <c r="E139" s="6" t="str">
        <f t="shared" si="10"/>
        <v xml:space="preserve">FL </v>
      </c>
      <c r="F139" s="6" t="str">
        <f t="shared" si="11"/>
        <v>E48178</v>
      </c>
    </row>
    <row r="140" spans="1:6" x14ac:dyDescent="0.3">
      <c r="A140" s="6">
        <v>139</v>
      </c>
      <c r="B140" s="6" t="s">
        <v>163</v>
      </c>
      <c r="C140" s="6" t="str">
        <f t="shared" si="8"/>
        <v xml:space="preserve">KT8FL </v>
      </c>
      <c r="D140" s="6" t="str">
        <f t="shared" si="9"/>
        <v>KT8</v>
      </c>
      <c r="E140" s="6" t="str">
        <f t="shared" si="10"/>
        <v xml:space="preserve">FL </v>
      </c>
      <c r="F140" s="6" t="str">
        <f t="shared" si="11"/>
        <v>E48147</v>
      </c>
    </row>
    <row r="141" spans="1:6" x14ac:dyDescent="0.3">
      <c r="A141" s="6">
        <v>140</v>
      </c>
      <c r="B141" s="6" t="s">
        <v>164</v>
      </c>
      <c r="C141" s="6" t="str">
        <f t="shared" si="8"/>
        <v xml:space="preserve">KT8FL </v>
      </c>
      <c r="D141" s="6" t="str">
        <f t="shared" si="9"/>
        <v>KT8</v>
      </c>
      <c r="E141" s="6" t="str">
        <f t="shared" si="10"/>
        <v xml:space="preserve">FL </v>
      </c>
      <c r="F141" s="6" t="str">
        <f t="shared" si="11"/>
        <v>E48176</v>
      </c>
    </row>
    <row r="142" spans="1:6" x14ac:dyDescent="0.3">
      <c r="A142" s="6">
        <v>141</v>
      </c>
      <c r="B142" s="6" t="s">
        <v>165</v>
      </c>
      <c r="C142" s="6" t="str">
        <f t="shared" si="8"/>
        <v xml:space="preserve">KT8FL </v>
      </c>
      <c r="D142" s="6" t="str">
        <f t="shared" si="9"/>
        <v>KT8</v>
      </c>
      <c r="E142" s="6" t="str">
        <f t="shared" si="10"/>
        <v xml:space="preserve">FL </v>
      </c>
      <c r="F142" s="6" t="str">
        <f t="shared" si="11"/>
        <v>F84677</v>
      </c>
    </row>
    <row r="143" spans="1:6" x14ac:dyDescent="0.3">
      <c r="A143" s="6">
        <v>142</v>
      </c>
      <c r="B143" s="6" t="s">
        <v>166</v>
      </c>
      <c r="C143" s="6" t="str">
        <f t="shared" si="8"/>
        <v xml:space="preserve">KT8FL </v>
      </c>
      <c r="D143" s="6" t="str">
        <f t="shared" si="9"/>
        <v>KT8</v>
      </c>
      <c r="E143" s="6" t="str">
        <f t="shared" si="10"/>
        <v xml:space="preserve">FL </v>
      </c>
      <c r="F143" s="6" t="str">
        <f t="shared" si="11"/>
        <v>E48156</v>
      </c>
    </row>
    <row r="144" spans="1:6" x14ac:dyDescent="0.3">
      <c r="A144" s="6">
        <v>143</v>
      </c>
      <c r="B144" s="6" t="s">
        <v>167</v>
      </c>
      <c r="C144" s="6" t="str">
        <f t="shared" si="8"/>
        <v xml:space="preserve">KT8FL </v>
      </c>
      <c r="D144" s="6" t="str">
        <f t="shared" si="9"/>
        <v>KT8</v>
      </c>
      <c r="E144" s="6" t="str">
        <f t="shared" si="10"/>
        <v xml:space="preserve">FL </v>
      </c>
      <c r="F144" s="6" t="str">
        <f t="shared" si="11"/>
        <v>515149</v>
      </c>
    </row>
    <row r="145" spans="1:6" x14ac:dyDescent="0.3">
      <c r="A145" s="6">
        <v>144</v>
      </c>
      <c r="B145" s="6" t="s">
        <v>168</v>
      </c>
      <c r="C145" s="6" t="str">
        <f t="shared" si="8"/>
        <v xml:space="preserve">KT8FL </v>
      </c>
      <c r="D145" s="6" t="str">
        <f t="shared" si="9"/>
        <v>KT8</v>
      </c>
      <c r="E145" s="6" t="str">
        <f t="shared" si="10"/>
        <v xml:space="preserve">FL </v>
      </c>
      <c r="F145" s="6" t="str">
        <f t="shared" si="11"/>
        <v>515188</v>
      </c>
    </row>
    <row r="146" spans="1:6" x14ac:dyDescent="0.3">
      <c r="A146" s="6">
        <v>145</v>
      </c>
      <c r="B146" s="6" t="s">
        <v>169</v>
      </c>
      <c r="C146" s="6" t="str">
        <f t="shared" si="8"/>
        <v xml:space="preserve">KT8FL </v>
      </c>
      <c r="D146" s="6" t="str">
        <f t="shared" si="9"/>
        <v>KT8</v>
      </c>
      <c r="E146" s="6" t="str">
        <f t="shared" si="10"/>
        <v xml:space="preserve">FL </v>
      </c>
      <c r="F146" s="6" t="str">
        <f t="shared" si="11"/>
        <v>515140</v>
      </c>
    </row>
    <row r="147" spans="1:6" x14ac:dyDescent="0.3">
      <c r="A147" s="6">
        <v>146</v>
      </c>
      <c r="B147" s="6" t="s">
        <v>170</v>
      </c>
      <c r="C147" s="6" t="str">
        <f t="shared" si="8"/>
        <v xml:space="preserve">KT8FL </v>
      </c>
      <c r="D147" s="6" t="str">
        <f t="shared" si="9"/>
        <v>KT8</v>
      </c>
      <c r="E147" s="6" t="str">
        <f t="shared" si="10"/>
        <v xml:space="preserve">FL </v>
      </c>
      <c r="F147" s="6" t="str">
        <f t="shared" si="11"/>
        <v>E33360</v>
      </c>
    </row>
    <row r="148" spans="1:6" x14ac:dyDescent="0.3">
      <c r="A148" s="6">
        <v>147</v>
      </c>
      <c r="B148" s="6" t="s">
        <v>171</v>
      </c>
      <c r="C148" s="6" t="str">
        <f t="shared" si="8"/>
        <v xml:space="preserve">KT8FL </v>
      </c>
      <c r="D148" s="6" t="str">
        <f t="shared" si="9"/>
        <v>KT8</v>
      </c>
      <c r="E148" s="6" t="str">
        <f t="shared" si="10"/>
        <v xml:space="preserve">FL </v>
      </c>
      <c r="F148" s="6" t="str">
        <f t="shared" si="11"/>
        <v>515075</v>
      </c>
    </row>
    <row r="149" spans="1:6" x14ac:dyDescent="0.3">
      <c r="A149" s="6">
        <v>148</v>
      </c>
      <c r="B149" s="6" t="s">
        <v>18</v>
      </c>
      <c r="C149" s="6" t="str">
        <f t="shared" si="8"/>
        <v xml:space="preserve">KT8FL </v>
      </c>
      <c r="D149" s="6" t="str">
        <f t="shared" si="9"/>
        <v>KT8</v>
      </c>
      <c r="E149" s="6" t="str">
        <f t="shared" si="10"/>
        <v xml:space="preserve">FL </v>
      </c>
      <c r="F149" s="6" t="str">
        <f t="shared" si="11"/>
        <v>515072</v>
      </c>
    </row>
    <row r="150" spans="1:6" x14ac:dyDescent="0.3">
      <c r="A150" s="6">
        <v>149</v>
      </c>
      <c r="B150" s="6" t="s">
        <v>19</v>
      </c>
      <c r="C150" s="6" t="str">
        <f t="shared" si="8"/>
        <v xml:space="preserve">KT8FL </v>
      </c>
      <c r="D150" s="6" t="str">
        <f t="shared" si="9"/>
        <v>KT8</v>
      </c>
      <c r="E150" s="6" t="str">
        <f t="shared" si="10"/>
        <v xml:space="preserve">FL </v>
      </c>
      <c r="F150" s="6" t="str">
        <f t="shared" si="11"/>
        <v>515100</v>
      </c>
    </row>
    <row r="151" spans="1:6" x14ac:dyDescent="0.3">
      <c r="A151" s="6">
        <v>150</v>
      </c>
      <c r="B151" s="6" t="s">
        <v>172</v>
      </c>
      <c r="C151" s="6" t="str">
        <f t="shared" si="8"/>
        <v xml:space="preserve">KT8FL </v>
      </c>
      <c r="D151" s="6" t="str">
        <f t="shared" si="9"/>
        <v>KT8</v>
      </c>
      <c r="E151" s="6" t="str">
        <f t="shared" si="10"/>
        <v xml:space="preserve">FL </v>
      </c>
      <c r="F151" s="6" t="str">
        <f t="shared" si="11"/>
        <v>515044</v>
      </c>
    </row>
    <row r="152" spans="1:6" x14ac:dyDescent="0.3">
      <c r="A152" s="6">
        <v>151</v>
      </c>
      <c r="B152" s="6" t="s">
        <v>173</v>
      </c>
      <c r="C152" s="6" t="str">
        <f t="shared" si="8"/>
        <v xml:space="preserve">KT8FL </v>
      </c>
      <c r="D152" s="6" t="str">
        <f t="shared" si="9"/>
        <v>KT8</v>
      </c>
      <c r="E152" s="6" t="str">
        <f t="shared" si="10"/>
        <v xml:space="preserve">FL </v>
      </c>
      <c r="F152" s="6" t="str">
        <f t="shared" si="11"/>
        <v>515065</v>
      </c>
    </row>
    <row r="153" spans="1:6" x14ac:dyDescent="0.3">
      <c r="A153" s="6">
        <v>152</v>
      </c>
      <c r="B153" s="6" t="s">
        <v>174</v>
      </c>
      <c r="C153" s="6" t="str">
        <f t="shared" si="8"/>
        <v xml:space="preserve">KT8FL </v>
      </c>
      <c r="D153" s="6" t="str">
        <f t="shared" si="9"/>
        <v>KT8</v>
      </c>
      <c r="E153" s="6" t="str">
        <f t="shared" si="10"/>
        <v xml:space="preserve">FL </v>
      </c>
      <c r="F153" s="6" t="str">
        <f t="shared" si="11"/>
        <v>E48037</v>
      </c>
    </row>
    <row r="154" spans="1:6" x14ac:dyDescent="0.3">
      <c r="A154" s="6">
        <v>153</v>
      </c>
      <c r="B154" s="6" t="s">
        <v>175</v>
      </c>
      <c r="C154" s="6" t="str">
        <f t="shared" si="8"/>
        <v xml:space="preserve">KT8FL </v>
      </c>
      <c r="D154" s="6" t="str">
        <f t="shared" si="9"/>
        <v>KT8</v>
      </c>
      <c r="E154" s="6" t="str">
        <f t="shared" si="10"/>
        <v xml:space="preserve">FL </v>
      </c>
      <c r="F154" s="6" t="str">
        <f t="shared" si="11"/>
        <v>515045</v>
      </c>
    </row>
    <row r="155" spans="1:6" x14ac:dyDescent="0.3">
      <c r="A155" s="6">
        <v>154</v>
      </c>
      <c r="B155" s="6" t="s">
        <v>176</v>
      </c>
      <c r="C155" s="6" t="str">
        <f t="shared" si="8"/>
        <v xml:space="preserve">KT8FL </v>
      </c>
      <c r="D155" s="6" t="str">
        <f t="shared" si="9"/>
        <v>KT8</v>
      </c>
      <c r="E155" s="6" t="str">
        <f t="shared" si="10"/>
        <v xml:space="preserve">FL </v>
      </c>
      <c r="F155" s="6" t="str">
        <f t="shared" si="11"/>
        <v>515053</v>
      </c>
    </row>
    <row r="156" spans="1:6" x14ac:dyDescent="0.3">
      <c r="A156" s="6">
        <v>155</v>
      </c>
      <c r="B156" s="6" t="s">
        <v>177</v>
      </c>
      <c r="C156" s="6" t="str">
        <f t="shared" si="8"/>
        <v xml:space="preserve">KT8FL </v>
      </c>
      <c r="D156" s="6" t="str">
        <f t="shared" si="9"/>
        <v>KT8</v>
      </c>
      <c r="E156" s="6" t="str">
        <f t="shared" si="10"/>
        <v xml:space="preserve">FL </v>
      </c>
      <c r="F156" s="6" t="str">
        <f t="shared" si="11"/>
        <v>E48157</v>
      </c>
    </row>
    <row r="157" spans="1:6" x14ac:dyDescent="0.3">
      <c r="A157" s="6">
        <v>156</v>
      </c>
      <c r="B157" s="6" t="s">
        <v>178</v>
      </c>
      <c r="C157" s="6" t="str">
        <f t="shared" si="8"/>
        <v xml:space="preserve">KT8FL </v>
      </c>
      <c r="D157" s="6" t="str">
        <f t="shared" si="9"/>
        <v>KT8</v>
      </c>
      <c r="E157" s="6" t="str">
        <f t="shared" si="10"/>
        <v xml:space="preserve">FL </v>
      </c>
      <c r="F157" s="6" t="str">
        <f t="shared" si="11"/>
        <v>E06449</v>
      </c>
    </row>
    <row r="158" spans="1:6" x14ac:dyDescent="0.3">
      <c r="A158" s="6">
        <v>157</v>
      </c>
      <c r="B158" s="6" t="s">
        <v>179</v>
      </c>
      <c r="C158" s="6" t="str">
        <f t="shared" si="8"/>
        <v xml:space="preserve">KT8FL </v>
      </c>
      <c r="D158" s="6" t="str">
        <f t="shared" si="9"/>
        <v>KT8</v>
      </c>
      <c r="E158" s="6" t="str">
        <f t="shared" si="10"/>
        <v xml:space="preserve">FL </v>
      </c>
      <c r="F158" s="6" t="str">
        <f t="shared" si="11"/>
        <v>E06565</v>
      </c>
    </row>
    <row r="159" spans="1:6" x14ac:dyDescent="0.3">
      <c r="A159" s="6">
        <v>158</v>
      </c>
      <c r="B159" s="6" t="s">
        <v>180</v>
      </c>
      <c r="C159" s="6" t="str">
        <f t="shared" si="8"/>
        <v xml:space="preserve">KT8FL </v>
      </c>
      <c r="D159" s="6" t="str">
        <f t="shared" si="9"/>
        <v>KT8</v>
      </c>
      <c r="E159" s="6" t="str">
        <f t="shared" si="10"/>
        <v xml:space="preserve">FL </v>
      </c>
      <c r="F159" s="6" t="str">
        <f t="shared" si="11"/>
        <v>E06404</v>
      </c>
    </row>
    <row r="160" spans="1:6" x14ac:dyDescent="0.3">
      <c r="A160" s="6">
        <v>159</v>
      </c>
      <c r="B160" s="6" t="s">
        <v>181</v>
      </c>
      <c r="C160" s="6" t="str">
        <f t="shared" si="8"/>
        <v xml:space="preserve">KT8FL </v>
      </c>
      <c r="D160" s="6" t="str">
        <f t="shared" si="9"/>
        <v>KT8</v>
      </c>
      <c r="E160" s="6" t="str">
        <f t="shared" si="10"/>
        <v xml:space="preserve">FL </v>
      </c>
      <c r="F160" s="6" t="str">
        <f t="shared" si="11"/>
        <v>F84722</v>
      </c>
    </row>
    <row r="161" spans="1:6" x14ac:dyDescent="0.3">
      <c r="A161" s="6">
        <v>160</v>
      </c>
      <c r="B161" s="6" t="s">
        <v>182</v>
      </c>
      <c r="C161" s="6" t="str">
        <f t="shared" si="8"/>
        <v xml:space="preserve">KT8FL </v>
      </c>
      <c r="D161" s="6" t="str">
        <f t="shared" si="9"/>
        <v>KT8</v>
      </c>
      <c r="E161" s="6" t="str">
        <f t="shared" si="10"/>
        <v xml:space="preserve">FL </v>
      </c>
      <c r="F161" s="6" t="str">
        <f t="shared" si="11"/>
        <v>E48177</v>
      </c>
    </row>
    <row r="162" spans="1:6" x14ac:dyDescent="0.3">
      <c r="A162" s="6">
        <v>161</v>
      </c>
      <c r="B162" s="6" t="s">
        <v>183</v>
      </c>
      <c r="C162" s="6" t="str">
        <f t="shared" si="8"/>
        <v xml:space="preserve">KT8FL </v>
      </c>
      <c r="D162" s="6" t="str">
        <f t="shared" si="9"/>
        <v>KT8</v>
      </c>
      <c r="E162" s="6" t="str">
        <f t="shared" si="10"/>
        <v xml:space="preserve">FL </v>
      </c>
      <c r="F162" s="6" t="str">
        <f t="shared" si="11"/>
        <v>515070</v>
      </c>
    </row>
    <row r="163" spans="1:6" x14ac:dyDescent="0.3">
      <c r="A163" s="6">
        <v>162</v>
      </c>
      <c r="B163" s="6" t="s">
        <v>184</v>
      </c>
      <c r="C163" s="6" t="str">
        <f t="shared" si="8"/>
        <v xml:space="preserve">KT8FL </v>
      </c>
      <c r="D163" s="6" t="str">
        <f t="shared" si="9"/>
        <v>KT8</v>
      </c>
      <c r="E163" s="6" t="str">
        <f t="shared" si="10"/>
        <v xml:space="preserve">FL </v>
      </c>
      <c r="F163" s="6" t="str">
        <f t="shared" si="11"/>
        <v>G00066</v>
      </c>
    </row>
    <row r="164" spans="1:6" x14ac:dyDescent="0.3">
      <c r="A164" s="6">
        <v>163</v>
      </c>
      <c r="B164" s="6" t="s">
        <v>185</v>
      </c>
      <c r="C164" s="6" t="str">
        <f t="shared" si="8"/>
        <v xml:space="preserve">KT8FL </v>
      </c>
      <c r="D164" s="6" t="str">
        <f t="shared" si="9"/>
        <v>KT8</v>
      </c>
      <c r="E164" s="6" t="str">
        <f t="shared" si="10"/>
        <v xml:space="preserve">FL </v>
      </c>
      <c r="F164" s="6" t="str">
        <f t="shared" si="11"/>
        <v>E06461</v>
      </c>
    </row>
    <row r="165" spans="1:6" x14ac:dyDescent="0.3">
      <c r="A165" s="6">
        <v>164</v>
      </c>
      <c r="B165" s="6" t="s">
        <v>186</v>
      </c>
      <c r="C165" s="6" t="str">
        <f t="shared" si="8"/>
        <v xml:space="preserve">KT8FL </v>
      </c>
      <c r="D165" s="6" t="str">
        <f t="shared" si="9"/>
        <v>KT8</v>
      </c>
      <c r="E165" s="6" t="str">
        <f t="shared" si="10"/>
        <v xml:space="preserve">FL </v>
      </c>
      <c r="F165" s="6" t="str">
        <f t="shared" si="11"/>
        <v>515146</v>
      </c>
    </row>
    <row r="166" spans="1:6" x14ac:dyDescent="0.3">
      <c r="A166" s="6">
        <v>165</v>
      </c>
      <c r="B166" s="6" t="s">
        <v>187</v>
      </c>
      <c r="C166" s="6" t="str">
        <f t="shared" si="8"/>
        <v xml:space="preserve">KT8FL </v>
      </c>
      <c r="D166" s="6" t="str">
        <f t="shared" si="9"/>
        <v>KT8</v>
      </c>
      <c r="E166" s="6" t="str">
        <f t="shared" si="10"/>
        <v xml:space="preserve">FL </v>
      </c>
      <c r="F166" s="6" t="str">
        <f t="shared" si="11"/>
        <v>515062</v>
      </c>
    </row>
    <row r="167" spans="1:6" x14ac:dyDescent="0.3">
      <c r="A167" s="6">
        <v>166</v>
      </c>
      <c r="B167" s="6" t="s">
        <v>188</v>
      </c>
      <c r="C167" s="6" t="str">
        <f t="shared" si="8"/>
        <v xml:space="preserve">KT8FL </v>
      </c>
      <c r="D167" s="6" t="str">
        <f t="shared" si="9"/>
        <v>KT8</v>
      </c>
      <c r="E167" s="6" t="str">
        <f t="shared" si="10"/>
        <v xml:space="preserve">FL </v>
      </c>
      <c r="F167" s="6" t="str">
        <f t="shared" si="11"/>
        <v>E06583</v>
      </c>
    </row>
    <row r="168" spans="1:6" x14ac:dyDescent="0.3">
      <c r="A168" s="6">
        <v>167</v>
      </c>
      <c r="B168" s="6" t="s">
        <v>189</v>
      </c>
      <c r="C168" s="6" t="str">
        <f t="shared" si="8"/>
        <v xml:space="preserve">KT8FL </v>
      </c>
      <c r="D168" s="6" t="str">
        <f t="shared" si="9"/>
        <v>KT8</v>
      </c>
      <c r="E168" s="6" t="str">
        <f t="shared" si="10"/>
        <v xml:space="preserve">FL </v>
      </c>
      <c r="F168" s="6" t="str">
        <f t="shared" si="11"/>
        <v>E06456</v>
      </c>
    </row>
    <row r="169" spans="1:6" x14ac:dyDescent="0.3">
      <c r="A169" s="6">
        <v>168</v>
      </c>
      <c r="B169" s="6" t="s">
        <v>190</v>
      </c>
      <c r="C169" s="6" t="str">
        <f t="shared" si="8"/>
        <v xml:space="preserve">KT8FL </v>
      </c>
      <c r="D169" s="6" t="str">
        <f t="shared" si="9"/>
        <v>KT8</v>
      </c>
      <c r="E169" s="6" t="str">
        <f t="shared" si="10"/>
        <v xml:space="preserve">FL </v>
      </c>
      <c r="F169" s="6" t="str">
        <f t="shared" si="11"/>
        <v>515063</v>
      </c>
    </row>
    <row r="170" spans="1:6" x14ac:dyDescent="0.3">
      <c r="A170" s="6">
        <v>169</v>
      </c>
      <c r="B170" s="6" t="s">
        <v>191</v>
      </c>
      <c r="C170" s="6" t="str">
        <f t="shared" si="8"/>
        <v xml:space="preserve">KT8FL </v>
      </c>
      <c r="D170" s="6" t="str">
        <f t="shared" si="9"/>
        <v>KT8</v>
      </c>
      <c r="E170" s="6" t="str">
        <f t="shared" si="10"/>
        <v xml:space="preserve">FL </v>
      </c>
      <c r="F170" s="6" t="str">
        <f t="shared" si="11"/>
        <v>515031</v>
      </c>
    </row>
    <row r="171" spans="1:6" x14ac:dyDescent="0.3">
      <c r="A171" s="6">
        <v>170</v>
      </c>
      <c r="B171" s="6" t="s">
        <v>192</v>
      </c>
      <c r="C171" s="6" t="str">
        <f t="shared" si="8"/>
        <v xml:space="preserve">KT8FL </v>
      </c>
      <c r="D171" s="6" t="str">
        <f t="shared" si="9"/>
        <v>KT8</v>
      </c>
      <c r="E171" s="6" t="str">
        <f t="shared" si="10"/>
        <v xml:space="preserve">FL </v>
      </c>
      <c r="F171" s="6" t="str">
        <f t="shared" si="11"/>
        <v>515153</v>
      </c>
    </row>
    <row r="172" spans="1:6" x14ac:dyDescent="0.3">
      <c r="A172" s="6">
        <v>171</v>
      </c>
      <c r="B172" s="6" t="s">
        <v>193</v>
      </c>
      <c r="C172" s="6" t="str">
        <f t="shared" si="8"/>
        <v xml:space="preserve">KT8FL </v>
      </c>
      <c r="D172" s="6" t="str">
        <f t="shared" si="9"/>
        <v>KT8</v>
      </c>
      <c r="E172" s="6" t="str">
        <f t="shared" si="10"/>
        <v xml:space="preserve">FL </v>
      </c>
      <c r="F172" s="6" t="str">
        <f t="shared" si="11"/>
        <v>F96694</v>
      </c>
    </row>
    <row r="173" spans="1:6" x14ac:dyDescent="0.3">
      <c r="A173" s="6">
        <v>172</v>
      </c>
      <c r="B173" s="6" t="s">
        <v>194</v>
      </c>
      <c r="C173" s="6" t="str">
        <f t="shared" si="8"/>
        <v xml:space="preserve">KT8FL </v>
      </c>
      <c r="D173" s="6" t="str">
        <f t="shared" si="9"/>
        <v>KT8</v>
      </c>
      <c r="E173" s="6" t="str">
        <f t="shared" si="10"/>
        <v xml:space="preserve">FL </v>
      </c>
      <c r="F173" s="6" t="str">
        <f t="shared" si="11"/>
        <v>E06557</v>
      </c>
    </row>
    <row r="174" spans="1:6" x14ac:dyDescent="0.3">
      <c r="A174" s="6">
        <v>173</v>
      </c>
      <c r="B174" s="6" t="s">
        <v>195</v>
      </c>
      <c r="C174" s="6" t="str">
        <f t="shared" si="8"/>
        <v xml:space="preserve">KT8FL </v>
      </c>
      <c r="D174" s="6" t="str">
        <f t="shared" si="9"/>
        <v>KT8</v>
      </c>
      <c r="E174" s="6" t="str">
        <f t="shared" si="10"/>
        <v xml:space="preserve">FL </v>
      </c>
      <c r="F174" s="6" t="str">
        <f t="shared" si="11"/>
        <v>515187</v>
      </c>
    </row>
    <row r="175" spans="1:6" x14ac:dyDescent="0.3">
      <c r="A175" s="6">
        <v>174</v>
      </c>
      <c r="B175" s="6" t="s">
        <v>196</v>
      </c>
      <c r="C175" s="6" t="str">
        <f t="shared" si="8"/>
        <v xml:space="preserve">KT8FL </v>
      </c>
      <c r="D175" s="6" t="str">
        <f t="shared" si="9"/>
        <v>KT8</v>
      </c>
      <c r="E175" s="6" t="str">
        <f t="shared" si="10"/>
        <v xml:space="preserve">FL </v>
      </c>
      <c r="F175" s="6" t="str">
        <f t="shared" si="11"/>
        <v>E33203</v>
      </c>
    </row>
    <row r="176" spans="1:6" x14ac:dyDescent="0.3">
      <c r="A176" s="6">
        <v>175</v>
      </c>
      <c r="B176" s="6" t="s">
        <v>197</v>
      </c>
      <c r="C176" s="6" t="str">
        <f t="shared" si="8"/>
        <v xml:space="preserve">KT8FL </v>
      </c>
      <c r="D176" s="6" t="str">
        <f t="shared" si="9"/>
        <v>KT8</v>
      </c>
      <c r="E176" s="6" t="str">
        <f t="shared" si="10"/>
        <v xml:space="preserve">FL </v>
      </c>
      <c r="F176" s="6" t="str">
        <f t="shared" si="11"/>
        <v>E48018</v>
      </c>
    </row>
    <row r="177" spans="1:6" x14ac:dyDescent="0.3">
      <c r="A177" s="6">
        <v>176</v>
      </c>
      <c r="B177" s="6" t="s">
        <v>198</v>
      </c>
      <c r="C177" s="6" t="str">
        <f t="shared" si="8"/>
        <v xml:space="preserve">KT8FL </v>
      </c>
      <c r="D177" s="6" t="str">
        <f t="shared" si="9"/>
        <v>KT8</v>
      </c>
      <c r="E177" s="6" t="str">
        <f t="shared" si="10"/>
        <v xml:space="preserve">FL </v>
      </c>
      <c r="F177" s="6" t="str">
        <f t="shared" si="11"/>
        <v>F84747</v>
      </c>
    </row>
    <row r="178" spans="1:6" x14ac:dyDescent="0.3">
      <c r="A178" s="6">
        <v>177</v>
      </c>
      <c r="B178" s="6" t="s">
        <v>199</v>
      </c>
      <c r="C178" s="6" t="str">
        <f t="shared" si="8"/>
        <v xml:space="preserve">KT8FL </v>
      </c>
      <c r="D178" s="6" t="str">
        <f t="shared" si="9"/>
        <v>KT8</v>
      </c>
      <c r="E178" s="6" t="str">
        <f t="shared" si="10"/>
        <v xml:space="preserve">FL </v>
      </c>
      <c r="F178" s="6" t="str">
        <f t="shared" si="11"/>
        <v>E48175</v>
      </c>
    </row>
    <row r="179" spans="1:6" x14ac:dyDescent="0.3">
      <c r="A179" s="6">
        <v>178</v>
      </c>
      <c r="B179" s="6" t="s">
        <v>200</v>
      </c>
      <c r="C179" s="6" t="str">
        <f t="shared" si="8"/>
        <v xml:space="preserve">KT8FL </v>
      </c>
      <c r="D179" s="6" t="str">
        <f t="shared" si="9"/>
        <v>KT8</v>
      </c>
      <c r="E179" s="6" t="str">
        <f t="shared" si="10"/>
        <v xml:space="preserve">FL </v>
      </c>
      <c r="F179" s="6" t="str">
        <f t="shared" si="11"/>
        <v>E48159</v>
      </c>
    </row>
    <row r="180" spans="1:6" x14ac:dyDescent="0.3">
      <c r="A180" s="6">
        <v>179</v>
      </c>
      <c r="B180" s="6" t="s">
        <v>201</v>
      </c>
      <c r="C180" s="6" t="str">
        <f t="shared" si="8"/>
        <v xml:space="preserve">KT8FL </v>
      </c>
      <c r="D180" s="6" t="str">
        <f t="shared" si="9"/>
        <v>KT8</v>
      </c>
      <c r="E180" s="6" t="str">
        <f t="shared" si="10"/>
        <v xml:space="preserve">FL </v>
      </c>
      <c r="F180" s="6" t="str">
        <f t="shared" si="11"/>
        <v>F84674</v>
      </c>
    </row>
    <row r="181" spans="1:6" x14ac:dyDescent="0.3">
      <c r="A181" s="6">
        <v>180</v>
      </c>
      <c r="B181" s="6" t="s">
        <v>202</v>
      </c>
      <c r="C181" s="6" t="str">
        <f t="shared" si="8"/>
        <v xml:space="preserve">KT8FL </v>
      </c>
      <c r="D181" s="6" t="str">
        <f t="shared" si="9"/>
        <v>KT8</v>
      </c>
      <c r="E181" s="6" t="str">
        <f t="shared" si="10"/>
        <v xml:space="preserve">FL </v>
      </c>
      <c r="F181" s="6" t="str">
        <f t="shared" si="11"/>
        <v>E06405</v>
      </c>
    </row>
    <row r="182" spans="1:6" x14ac:dyDescent="0.3">
      <c r="A182" s="6">
        <v>181</v>
      </c>
      <c r="B182" s="6" t="s">
        <v>203</v>
      </c>
      <c r="C182" s="6" t="str">
        <f t="shared" si="8"/>
        <v xml:space="preserve">KT8FL </v>
      </c>
      <c r="D182" s="6" t="str">
        <f t="shared" si="9"/>
        <v>KT8</v>
      </c>
      <c r="E182" s="6" t="str">
        <f t="shared" si="10"/>
        <v xml:space="preserve">FL </v>
      </c>
      <c r="F182" s="6" t="str">
        <f t="shared" si="11"/>
        <v>E48171</v>
      </c>
    </row>
    <row r="183" spans="1:6" x14ac:dyDescent="0.3">
      <c r="A183" s="6">
        <v>182</v>
      </c>
      <c r="B183" s="6" t="s">
        <v>204</v>
      </c>
      <c r="C183" s="6" t="str">
        <f t="shared" si="8"/>
        <v xml:space="preserve">KT8FL </v>
      </c>
      <c r="D183" s="6" t="str">
        <f t="shared" si="9"/>
        <v>KT8</v>
      </c>
      <c r="E183" s="6" t="str">
        <f t="shared" si="10"/>
        <v xml:space="preserve">FL </v>
      </c>
      <c r="F183" s="6" t="str">
        <f t="shared" si="11"/>
        <v>E06561</v>
      </c>
    </row>
    <row r="184" spans="1:6" x14ac:dyDescent="0.3">
      <c r="A184" s="6">
        <v>183</v>
      </c>
      <c r="B184" s="6" t="s">
        <v>205</v>
      </c>
      <c r="C184" s="6" t="str">
        <f t="shared" si="8"/>
        <v xml:space="preserve">KT8FL </v>
      </c>
      <c r="D184" s="6" t="str">
        <f t="shared" si="9"/>
        <v>KT8</v>
      </c>
      <c r="E184" s="6" t="str">
        <f t="shared" si="10"/>
        <v xml:space="preserve">FL </v>
      </c>
      <c r="F184" s="6" t="str">
        <f t="shared" si="11"/>
        <v>E33289</v>
      </c>
    </row>
    <row r="185" spans="1:6" x14ac:dyDescent="0.3">
      <c r="A185" s="6">
        <v>184</v>
      </c>
      <c r="B185" s="6" t="s">
        <v>206</v>
      </c>
      <c r="C185" s="6" t="str">
        <f t="shared" si="8"/>
        <v xml:space="preserve">KT8FL </v>
      </c>
      <c r="D185" s="6" t="str">
        <f t="shared" si="9"/>
        <v>KT8</v>
      </c>
      <c r="E185" s="6" t="str">
        <f t="shared" si="10"/>
        <v xml:space="preserve">FL </v>
      </c>
      <c r="F185" s="6" t="str">
        <f t="shared" si="11"/>
        <v>F96971</v>
      </c>
    </row>
    <row r="186" spans="1:6" x14ac:dyDescent="0.3">
      <c r="A186" s="6">
        <v>185</v>
      </c>
      <c r="B186" s="6" t="s">
        <v>207</v>
      </c>
      <c r="C186" s="6" t="str">
        <f t="shared" si="8"/>
        <v xml:space="preserve">KT8FL </v>
      </c>
      <c r="D186" s="6" t="str">
        <f t="shared" si="9"/>
        <v>KT8</v>
      </c>
      <c r="E186" s="6" t="str">
        <f t="shared" si="10"/>
        <v xml:space="preserve">FL </v>
      </c>
      <c r="F186" s="6" t="str">
        <f t="shared" si="11"/>
        <v>F84745</v>
      </c>
    </row>
    <row r="187" spans="1:6" x14ac:dyDescent="0.3">
      <c r="A187" s="6">
        <v>186</v>
      </c>
      <c r="B187" s="6" t="s">
        <v>208</v>
      </c>
      <c r="C187" s="6" t="str">
        <f t="shared" si="8"/>
        <v xml:space="preserve">KT8FL </v>
      </c>
      <c r="D187" s="6" t="str">
        <f t="shared" si="9"/>
        <v>KT8</v>
      </c>
      <c r="E187" s="6" t="str">
        <f t="shared" si="10"/>
        <v xml:space="preserve">FL </v>
      </c>
      <c r="F187" s="6" t="str">
        <f t="shared" si="11"/>
        <v>E33234</v>
      </c>
    </row>
    <row r="188" spans="1:6" x14ac:dyDescent="0.3">
      <c r="A188" s="6">
        <v>187</v>
      </c>
      <c r="B188" s="6" t="s">
        <v>209</v>
      </c>
      <c r="C188" s="6" t="str">
        <f t="shared" si="8"/>
        <v xml:space="preserve">KT8FL </v>
      </c>
      <c r="D188" s="6" t="str">
        <f t="shared" si="9"/>
        <v>KT8</v>
      </c>
      <c r="E188" s="6" t="str">
        <f t="shared" si="10"/>
        <v xml:space="preserve">FL </v>
      </c>
      <c r="F188" s="6" t="str">
        <f t="shared" si="11"/>
        <v>E06403</v>
      </c>
    </row>
    <row r="189" spans="1:6" x14ac:dyDescent="0.3">
      <c r="A189" s="6">
        <v>188</v>
      </c>
      <c r="B189" s="6" t="s">
        <v>210</v>
      </c>
      <c r="C189" s="6" t="str">
        <f t="shared" si="8"/>
        <v xml:space="preserve">KT8FL </v>
      </c>
      <c r="D189" s="6" t="str">
        <f t="shared" si="9"/>
        <v>KT8</v>
      </c>
      <c r="E189" s="6" t="str">
        <f t="shared" si="10"/>
        <v xml:space="preserve">FL </v>
      </c>
      <c r="F189" s="6" t="str">
        <f t="shared" si="11"/>
        <v>F96980</v>
      </c>
    </row>
    <row r="190" spans="1:6" x14ac:dyDescent="0.3">
      <c r="A190" s="6">
        <v>189</v>
      </c>
      <c r="B190" s="6" t="s">
        <v>211</v>
      </c>
      <c r="C190" s="6" t="str">
        <f t="shared" si="8"/>
        <v xml:space="preserve">KT8FL </v>
      </c>
      <c r="D190" s="6" t="str">
        <f t="shared" si="9"/>
        <v>KT8</v>
      </c>
      <c r="E190" s="6" t="str">
        <f t="shared" si="10"/>
        <v xml:space="preserve">FL </v>
      </c>
      <c r="F190" s="6" t="str">
        <f t="shared" si="11"/>
        <v>F84729</v>
      </c>
    </row>
    <row r="191" spans="1:6" x14ac:dyDescent="0.3">
      <c r="A191" s="6">
        <v>190</v>
      </c>
      <c r="B191" s="6" t="s">
        <v>212</v>
      </c>
      <c r="C191" s="6" t="str">
        <f t="shared" si="8"/>
        <v xml:space="preserve">KT8FL </v>
      </c>
      <c r="D191" s="6" t="str">
        <f t="shared" si="9"/>
        <v>KT8</v>
      </c>
      <c r="E191" s="6" t="str">
        <f t="shared" si="10"/>
        <v xml:space="preserve">FL </v>
      </c>
      <c r="F191" s="6" t="str">
        <f t="shared" si="11"/>
        <v>E33361</v>
      </c>
    </row>
    <row r="192" spans="1:6" x14ac:dyDescent="0.3">
      <c r="A192" s="6">
        <v>191</v>
      </c>
      <c r="B192" s="6" t="s">
        <v>213</v>
      </c>
      <c r="C192" s="6" t="str">
        <f t="shared" si="8"/>
        <v xml:space="preserve">KT8FL </v>
      </c>
      <c r="D192" s="6" t="str">
        <f t="shared" si="9"/>
        <v>KT8</v>
      </c>
      <c r="E192" s="6" t="str">
        <f t="shared" si="10"/>
        <v xml:space="preserve">FL </v>
      </c>
      <c r="F192" s="6" t="str">
        <f t="shared" si="11"/>
        <v>F96693</v>
      </c>
    </row>
    <row r="193" spans="1:6" x14ac:dyDescent="0.3">
      <c r="A193" s="6">
        <v>192</v>
      </c>
      <c r="B193" s="6" t="s">
        <v>214</v>
      </c>
      <c r="C193" s="6" t="str">
        <f t="shared" si="8"/>
        <v xml:space="preserve">KT8FL </v>
      </c>
      <c r="D193" s="6" t="str">
        <f t="shared" si="9"/>
        <v>KT8</v>
      </c>
      <c r="E193" s="6" t="str">
        <f t="shared" si="10"/>
        <v xml:space="preserve">FL </v>
      </c>
      <c r="F193" s="6" t="str">
        <f t="shared" si="11"/>
        <v>E06414</v>
      </c>
    </row>
    <row r="194" spans="1:6" x14ac:dyDescent="0.3">
      <c r="A194" s="6">
        <v>193</v>
      </c>
      <c r="B194" s="6" t="s">
        <v>215</v>
      </c>
      <c r="C194" s="6" t="str">
        <f t="shared" si="8"/>
        <v xml:space="preserve">KT8FL </v>
      </c>
      <c r="D194" s="6" t="str">
        <f t="shared" si="9"/>
        <v>KT8</v>
      </c>
      <c r="E194" s="6" t="str">
        <f t="shared" si="10"/>
        <v xml:space="preserve">FL </v>
      </c>
      <c r="F194" s="6" t="str">
        <f t="shared" si="11"/>
        <v>E06455</v>
      </c>
    </row>
    <row r="195" spans="1:6" x14ac:dyDescent="0.3">
      <c r="A195" s="6">
        <v>194</v>
      </c>
      <c r="B195" s="6" t="s">
        <v>216</v>
      </c>
      <c r="C195" s="6" t="str">
        <f t="shared" ref="C195:C258" si="12">LEFT(B195,6)</f>
        <v xml:space="preserve">KT8FL </v>
      </c>
      <c r="D195" s="6" t="str">
        <f t="shared" ref="D195:D258" si="13">LEFT(C195,3)</f>
        <v>KT8</v>
      </c>
      <c r="E195" s="6" t="str">
        <f t="shared" ref="E195:E258" si="14">RIGHT(C195,3)</f>
        <v xml:space="preserve">FL </v>
      </c>
      <c r="F195" s="6" t="str">
        <f t="shared" ref="F195:F258" si="15">RIGHT(B195,6)</f>
        <v>E06540</v>
      </c>
    </row>
    <row r="196" spans="1:6" x14ac:dyDescent="0.3">
      <c r="A196" s="6">
        <v>195</v>
      </c>
      <c r="B196" s="6" t="s">
        <v>217</v>
      </c>
      <c r="C196" s="6" t="str">
        <f t="shared" si="12"/>
        <v xml:space="preserve">KT8FL </v>
      </c>
      <c r="D196" s="6" t="str">
        <f t="shared" si="13"/>
        <v>KT8</v>
      </c>
      <c r="E196" s="6" t="str">
        <f t="shared" si="14"/>
        <v xml:space="preserve">FL </v>
      </c>
      <c r="F196" s="6" t="str">
        <f t="shared" si="15"/>
        <v>E06539</v>
      </c>
    </row>
    <row r="197" spans="1:6" x14ac:dyDescent="0.3">
      <c r="A197" s="6">
        <v>196</v>
      </c>
      <c r="B197" s="6" t="s">
        <v>218</v>
      </c>
      <c r="C197" s="6" t="str">
        <f t="shared" si="12"/>
        <v xml:space="preserve">KT8FL </v>
      </c>
      <c r="D197" s="6" t="str">
        <f t="shared" si="13"/>
        <v>KT8</v>
      </c>
      <c r="E197" s="6" t="str">
        <f t="shared" si="14"/>
        <v xml:space="preserve">FL </v>
      </c>
      <c r="F197" s="6" t="str">
        <f t="shared" si="15"/>
        <v>E06458</v>
      </c>
    </row>
    <row r="198" spans="1:6" x14ac:dyDescent="0.3">
      <c r="A198" s="6">
        <v>197</v>
      </c>
      <c r="B198" s="6" t="s">
        <v>219</v>
      </c>
      <c r="C198" s="6" t="str">
        <f t="shared" si="12"/>
        <v xml:space="preserve">KT8FL </v>
      </c>
      <c r="D198" s="6" t="str">
        <f t="shared" si="13"/>
        <v>KT8</v>
      </c>
      <c r="E198" s="6" t="str">
        <f t="shared" si="14"/>
        <v xml:space="preserve">FL </v>
      </c>
      <c r="F198" s="6" t="str">
        <f t="shared" si="15"/>
        <v>G00075</v>
      </c>
    </row>
    <row r="199" spans="1:6" x14ac:dyDescent="0.3">
      <c r="A199" s="6">
        <v>198</v>
      </c>
      <c r="B199" s="6" t="s">
        <v>220</v>
      </c>
      <c r="C199" s="6" t="str">
        <f t="shared" si="12"/>
        <v xml:space="preserve">KT8FL </v>
      </c>
      <c r="D199" s="6" t="str">
        <f t="shared" si="13"/>
        <v>KT8</v>
      </c>
      <c r="E199" s="6" t="str">
        <f t="shared" si="14"/>
        <v xml:space="preserve">FL </v>
      </c>
      <c r="F199" s="6" t="str">
        <f t="shared" si="15"/>
        <v>E06501</v>
      </c>
    </row>
    <row r="200" spans="1:6" x14ac:dyDescent="0.3">
      <c r="A200" s="6">
        <v>199</v>
      </c>
      <c r="B200" s="6" t="s">
        <v>221</v>
      </c>
      <c r="C200" s="6" t="str">
        <f t="shared" si="12"/>
        <v xml:space="preserve">KT8FL </v>
      </c>
      <c r="D200" s="6" t="str">
        <f t="shared" si="13"/>
        <v>KT8</v>
      </c>
      <c r="E200" s="6" t="str">
        <f t="shared" si="14"/>
        <v xml:space="preserve">FL </v>
      </c>
      <c r="F200" s="6" t="str">
        <f t="shared" si="15"/>
        <v>E06536</v>
      </c>
    </row>
    <row r="201" spans="1:6" x14ac:dyDescent="0.3">
      <c r="A201" s="6">
        <v>200</v>
      </c>
      <c r="B201" s="6" t="s">
        <v>222</v>
      </c>
      <c r="C201" s="6" t="str">
        <f t="shared" si="12"/>
        <v xml:space="preserve">KT8FL </v>
      </c>
      <c r="D201" s="6" t="str">
        <f t="shared" si="13"/>
        <v>KT8</v>
      </c>
      <c r="E201" s="6" t="str">
        <f t="shared" si="14"/>
        <v xml:space="preserve">FL </v>
      </c>
      <c r="F201" s="6" t="str">
        <f t="shared" si="15"/>
        <v>515050</v>
      </c>
    </row>
    <row r="202" spans="1:6" x14ac:dyDescent="0.3">
      <c r="A202" s="6">
        <v>201</v>
      </c>
      <c r="B202" s="6" t="s">
        <v>223</v>
      </c>
      <c r="C202" s="6" t="str">
        <f t="shared" si="12"/>
        <v xml:space="preserve">KT8FL </v>
      </c>
      <c r="D202" s="6" t="str">
        <f t="shared" si="13"/>
        <v>KT8</v>
      </c>
      <c r="E202" s="6" t="str">
        <f t="shared" si="14"/>
        <v xml:space="preserve">FL </v>
      </c>
      <c r="F202" s="6" t="str">
        <f t="shared" si="15"/>
        <v>E48034</v>
      </c>
    </row>
    <row r="203" spans="1:6" x14ac:dyDescent="0.3">
      <c r="A203" s="6">
        <v>202</v>
      </c>
      <c r="B203" s="6" t="s">
        <v>224</v>
      </c>
      <c r="C203" s="6" t="str">
        <f t="shared" si="12"/>
        <v xml:space="preserve">KT8FL </v>
      </c>
      <c r="D203" s="6" t="str">
        <f t="shared" si="13"/>
        <v>KT8</v>
      </c>
      <c r="E203" s="6" t="str">
        <f t="shared" si="14"/>
        <v xml:space="preserve">FL </v>
      </c>
      <c r="F203" s="6" t="str">
        <f t="shared" si="15"/>
        <v>515159</v>
      </c>
    </row>
    <row r="204" spans="1:6" x14ac:dyDescent="0.3">
      <c r="A204" s="6">
        <v>203</v>
      </c>
      <c r="B204" s="6" t="s">
        <v>225</v>
      </c>
      <c r="C204" s="6" t="str">
        <f t="shared" si="12"/>
        <v xml:space="preserve">KT8FL </v>
      </c>
      <c r="D204" s="6" t="str">
        <f t="shared" si="13"/>
        <v>KT8</v>
      </c>
      <c r="E204" s="6" t="str">
        <f t="shared" si="14"/>
        <v xml:space="preserve">FL </v>
      </c>
      <c r="F204" s="6" t="str">
        <f t="shared" si="15"/>
        <v>E48031</v>
      </c>
    </row>
    <row r="205" spans="1:6" x14ac:dyDescent="0.3">
      <c r="A205" s="6">
        <v>204</v>
      </c>
      <c r="B205" s="6" t="s">
        <v>226</v>
      </c>
      <c r="C205" s="6" t="str">
        <f t="shared" si="12"/>
        <v xml:space="preserve">KT8FL </v>
      </c>
      <c r="D205" s="6" t="str">
        <f t="shared" si="13"/>
        <v>KT8</v>
      </c>
      <c r="E205" s="6" t="str">
        <f t="shared" si="14"/>
        <v xml:space="preserve">FL </v>
      </c>
      <c r="F205" s="6" t="str">
        <f t="shared" si="15"/>
        <v>E48044</v>
      </c>
    </row>
    <row r="206" spans="1:6" x14ac:dyDescent="0.3">
      <c r="A206" s="6">
        <v>205</v>
      </c>
      <c r="B206" s="6" t="s">
        <v>227</v>
      </c>
      <c r="C206" s="6" t="str">
        <f t="shared" si="12"/>
        <v xml:space="preserve">KT8FL </v>
      </c>
      <c r="D206" s="6" t="str">
        <f t="shared" si="13"/>
        <v>KT8</v>
      </c>
      <c r="E206" s="6" t="str">
        <f t="shared" si="14"/>
        <v xml:space="preserve">FL </v>
      </c>
      <c r="F206" s="6" t="str">
        <f t="shared" si="15"/>
        <v>E06538</v>
      </c>
    </row>
    <row r="207" spans="1:6" x14ac:dyDescent="0.3">
      <c r="A207" s="6">
        <v>206</v>
      </c>
      <c r="B207" s="6" t="s">
        <v>228</v>
      </c>
      <c r="C207" s="6" t="str">
        <f t="shared" si="12"/>
        <v xml:space="preserve">KT8FL </v>
      </c>
      <c r="D207" s="6" t="str">
        <f t="shared" si="13"/>
        <v>KT8</v>
      </c>
      <c r="E207" s="6" t="str">
        <f t="shared" si="14"/>
        <v xml:space="preserve">FL </v>
      </c>
      <c r="F207" s="6" t="str">
        <f t="shared" si="15"/>
        <v>E48028</v>
      </c>
    </row>
    <row r="208" spans="1:6" x14ac:dyDescent="0.3">
      <c r="A208" s="6">
        <v>207</v>
      </c>
      <c r="B208" s="6" t="s">
        <v>229</v>
      </c>
      <c r="C208" s="6" t="str">
        <f t="shared" si="12"/>
        <v xml:space="preserve">KT8FL </v>
      </c>
      <c r="D208" s="6" t="str">
        <f t="shared" si="13"/>
        <v>KT8</v>
      </c>
      <c r="E208" s="6" t="str">
        <f t="shared" si="14"/>
        <v xml:space="preserve">FL </v>
      </c>
      <c r="F208" s="6" t="str">
        <f t="shared" si="15"/>
        <v>F84724</v>
      </c>
    </row>
    <row r="209" spans="1:6" x14ac:dyDescent="0.3">
      <c r="A209" s="6">
        <v>208</v>
      </c>
      <c r="B209" s="6" t="s">
        <v>230</v>
      </c>
      <c r="C209" s="6" t="str">
        <f t="shared" si="12"/>
        <v xml:space="preserve">KT8FL </v>
      </c>
      <c r="D209" s="6" t="str">
        <f t="shared" si="13"/>
        <v>KT8</v>
      </c>
      <c r="E209" s="6" t="str">
        <f t="shared" si="14"/>
        <v xml:space="preserve">FL </v>
      </c>
      <c r="F209" s="6" t="str">
        <f t="shared" si="15"/>
        <v>515145</v>
      </c>
    </row>
    <row r="210" spans="1:6" x14ac:dyDescent="0.3">
      <c r="A210" s="6">
        <v>209</v>
      </c>
      <c r="B210" s="6" t="s">
        <v>231</v>
      </c>
      <c r="C210" s="6" t="str">
        <f t="shared" si="12"/>
        <v xml:space="preserve">KT8FL </v>
      </c>
      <c r="D210" s="6" t="str">
        <f t="shared" si="13"/>
        <v>KT8</v>
      </c>
      <c r="E210" s="6" t="str">
        <f t="shared" si="14"/>
        <v xml:space="preserve">FL </v>
      </c>
      <c r="F210" s="6" t="str">
        <f t="shared" si="15"/>
        <v>515174</v>
      </c>
    </row>
    <row r="211" spans="1:6" x14ac:dyDescent="0.3">
      <c r="A211" s="6">
        <v>210</v>
      </c>
      <c r="B211" s="6" t="s">
        <v>232</v>
      </c>
      <c r="C211" s="6" t="str">
        <f t="shared" si="12"/>
        <v xml:space="preserve">KT8FL </v>
      </c>
      <c r="D211" s="6" t="str">
        <f t="shared" si="13"/>
        <v>KT8</v>
      </c>
      <c r="E211" s="6" t="str">
        <f t="shared" si="14"/>
        <v xml:space="preserve">FL </v>
      </c>
      <c r="F211" s="6" t="str">
        <f t="shared" si="15"/>
        <v>515035</v>
      </c>
    </row>
    <row r="212" spans="1:6" x14ac:dyDescent="0.3">
      <c r="A212" s="6">
        <v>211</v>
      </c>
      <c r="B212" s="6" t="s">
        <v>22</v>
      </c>
      <c r="C212" s="6" t="str">
        <f t="shared" si="12"/>
        <v xml:space="preserve">KT8FL </v>
      </c>
      <c r="D212" s="6" t="str">
        <f t="shared" si="13"/>
        <v>KT8</v>
      </c>
      <c r="E212" s="6" t="str">
        <f t="shared" si="14"/>
        <v xml:space="preserve">FL </v>
      </c>
      <c r="F212" s="6" t="str">
        <f t="shared" si="15"/>
        <v>E48149</v>
      </c>
    </row>
    <row r="213" spans="1:6" x14ac:dyDescent="0.3">
      <c r="A213" s="6">
        <v>212</v>
      </c>
      <c r="B213" s="6" t="s">
        <v>233</v>
      </c>
      <c r="C213" s="6" t="str">
        <f t="shared" si="12"/>
        <v xml:space="preserve">KT8FL </v>
      </c>
      <c r="D213" s="6" t="str">
        <f t="shared" si="13"/>
        <v>KT8</v>
      </c>
      <c r="E213" s="6" t="str">
        <f t="shared" si="14"/>
        <v xml:space="preserve">FL </v>
      </c>
      <c r="F213" s="6" t="str">
        <f t="shared" si="15"/>
        <v>515173</v>
      </c>
    </row>
    <row r="214" spans="1:6" x14ac:dyDescent="0.3">
      <c r="A214" s="6">
        <v>213</v>
      </c>
      <c r="B214" s="6" t="s">
        <v>234</v>
      </c>
      <c r="C214" s="6" t="str">
        <f t="shared" si="12"/>
        <v xml:space="preserve">KT8FL </v>
      </c>
      <c r="D214" s="6" t="str">
        <f t="shared" si="13"/>
        <v>KT8</v>
      </c>
      <c r="E214" s="6" t="str">
        <f t="shared" si="14"/>
        <v xml:space="preserve">FL </v>
      </c>
      <c r="F214" s="6" t="str">
        <f t="shared" si="15"/>
        <v>E06553</v>
      </c>
    </row>
    <row r="215" spans="1:6" x14ac:dyDescent="0.3">
      <c r="A215" s="6">
        <v>214</v>
      </c>
      <c r="B215" s="6" t="s">
        <v>21</v>
      </c>
      <c r="C215" s="6" t="str">
        <f t="shared" si="12"/>
        <v xml:space="preserve">KT8FL </v>
      </c>
      <c r="D215" s="6" t="str">
        <f t="shared" si="13"/>
        <v>KT8</v>
      </c>
      <c r="E215" s="6" t="str">
        <f t="shared" si="14"/>
        <v xml:space="preserve">FL </v>
      </c>
      <c r="F215" s="6" t="str">
        <f t="shared" si="15"/>
        <v>E48021</v>
      </c>
    </row>
    <row r="216" spans="1:6" x14ac:dyDescent="0.3">
      <c r="A216" s="6">
        <v>215</v>
      </c>
      <c r="B216" s="6" t="s">
        <v>235</v>
      </c>
      <c r="C216" s="6" t="str">
        <f t="shared" si="12"/>
        <v xml:space="preserve">KT8FL </v>
      </c>
      <c r="D216" s="6" t="str">
        <f t="shared" si="13"/>
        <v>KT8</v>
      </c>
      <c r="E216" s="6" t="str">
        <f t="shared" si="14"/>
        <v xml:space="preserve">FL </v>
      </c>
      <c r="F216" s="6" t="str">
        <f t="shared" si="15"/>
        <v>E48014</v>
      </c>
    </row>
    <row r="217" spans="1:6" x14ac:dyDescent="0.3">
      <c r="A217" s="6">
        <v>216</v>
      </c>
      <c r="B217" s="6" t="s">
        <v>236</v>
      </c>
      <c r="C217" s="6" t="str">
        <f t="shared" si="12"/>
        <v xml:space="preserve">KT8BL </v>
      </c>
      <c r="D217" s="6" t="str">
        <f t="shared" si="13"/>
        <v>KT8</v>
      </c>
      <c r="E217" s="6" t="str">
        <f t="shared" si="14"/>
        <v xml:space="preserve">BL </v>
      </c>
      <c r="F217" s="6" t="str">
        <f t="shared" si="15"/>
        <v>297876</v>
      </c>
    </row>
    <row r="218" spans="1:6" x14ac:dyDescent="0.3">
      <c r="A218" s="6">
        <v>217</v>
      </c>
      <c r="B218" s="6" t="s">
        <v>237</v>
      </c>
      <c r="C218" s="6" t="str">
        <f t="shared" si="12"/>
        <v xml:space="preserve">KT8BL </v>
      </c>
      <c r="D218" s="6" t="str">
        <f t="shared" si="13"/>
        <v>KT8</v>
      </c>
      <c r="E218" s="6" t="str">
        <f t="shared" si="14"/>
        <v xml:space="preserve">BL </v>
      </c>
      <c r="F218" s="6" t="str">
        <f t="shared" si="15"/>
        <v>291032</v>
      </c>
    </row>
    <row r="219" spans="1:6" x14ac:dyDescent="0.3">
      <c r="A219" s="6">
        <v>218</v>
      </c>
      <c r="B219" s="6" t="s">
        <v>238</v>
      </c>
      <c r="C219" s="6" t="str">
        <f t="shared" si="12"/>
        <v xml:space="preserve">KT8BL </v>
      </c>
      <c r="D219" s="6" t="str">
        <f t="shared" si="13"/>
        <v>KT8</v>
      </c>
      <c r="E219" s="6" t="str">
        <f t="shared" si="14"/>
        <v xml:space="preserve">BL </v>
      </c>
      <c r="F219" s="6" t="str">
        <f t="shared" si="15"/>
        <v>291186</v>
      </c>
    </row>
    <row r="220" spans="1:6" x14ac:dyDescent="0.3">
      <c r="A220" s="6">
        <v>219</v>
      </c>
      <c r="B220" s="6" t="s">
        <v>20</v>
      </c>
      <c r="C220" s="6" t="str">
        <f t="shared" si="12"/>
        <v xml:space="preserve">KT8FL </v>
      </c>
      <c r="D220" s="6" t="str">
        <f t="shared" si="13"/>
        <v>KT8</v>
      </c>
      <c r="E220" s="6" t="str">
        <f t="shared" si="14"/>
        <v xml:space="preserve">FL </v>
      </c>
      <c r="F220" s="6" t="str">
        <f t="shared" si="15"/>
        <v>E06552</v>
      </c>
    </row>
    <row r="221" spans="1:6" x14ac:dyDescent="0.3">
      <c r="A221" s="6">
        <v>220</v>
      </c>
      <c r="B221" s="6" t="s">
        <v>239</v>
      </c>
      <c r="C221" s="6" t="str">
        <f t="shared" si="12"/>
        <v xml:space="preserve">KT8BE </v>
      </c>
      <c r="D221" s="6" t="str">
        <f t="shared" si="13"/>
        <v>KT8</v>
      </c>
      <c r="E221" s="6" t="str">
        <f t="shared" si="14"/>
        <v xml:space="preserve">BE </v>
      </c>
      <c r="F221" s="6" t="str">
        <f t="shared" si="15"/>
        <v>072701</v>
      </c>
    </row>
    <row r="222" spans="1:6" x14ac:dyDescent="0.3">
      <c r="A222" s="6">
        <v>221</v>
      </c>
      <c r="B222" s="6" t="s">
        <v>240</v>
      </c>
      <c r="C222" s="6" t="str">
        <f t="shared" si="12"/>
        <v xml:space="preserve">KT8FL </v>
      </c>
      <c r="D222" s="6" t="str">
        <f t="shared" si="13"/>
        <v>KT8</v>
      </c>
      <c r="E222" s="6" t="str">
        <f t="shared" si="14"/>
        <v xml:space="preserve">FL </v>
      </c>
      <c r="F222" s="6" t="str">
        <f t="shared" si="15"/>
        <v>515155</v>
      </c>
    </row>
    <row r="223" spans="1:6" x14ac:dyDescent="0.3">
      <c r="A223" s="6">
        <v>222</v>
      </c>
      <c r="B223" s="6" t="s">
        <v>241</v>
      </c>
      <c r="C223" s="6" t="str">
        <f t="shared" si="12"/>
        <v xml:space="preserve">KT8FL </v>
      </c>
      <c r="D223" s="6" t="str">
        <f t="shared" si="13"/>
        <v>KT8</v>
      </c>
      <c r="E223" s="6" t="str">
        <f t="shared" si="14"/>
        <v xml:space="preserve">FL </v>
      </c>
      <c r="F223" s="6" t="str">
        <f t="shared" si="15"/>
        <v>E48174</v>
      </c>
    </row>
    <row r="224" spans="1:6" x14ac:dyDescent="0.3">
      <c r="A224" s="6">
        <v>223</v>
      </c>
      <c r="B224" s="6" t="s">
        <v>242</v>
      </c>
      <c r="C224" s="6" t="str">
        <f t="shared" si="12"/>
        <v xml:space="preserve">KT8FL </v>
      </c>
      <c r="D224" s="6" t="str">
        <f t="shared" si="13"/>
        <v>KT8</v>
      </c>
      <c r="E224" s="6" t="str">
        <f t="shared" si="14"/>
        <v xml:space="preserve">FL </v>
      </c>
      <c r="F224" s="6" t="str">
        <f t="shared" si="15"/>
        <v>F84727</v>
      </c>
    </row>
    <row r="225" spans="1:6" x14ac:dyDescent="0.3">
      <c r="A225" s="6">
        <v>224</v>
      </c>
      <c r="B225" s="6" t="s">
        <v>243</v>
      </c>
      <c r="C225" s="6" t="str">
        <f t="shared" si="12"/>
        <v xml:space="preserve">KT8FL </v>
      </c>
      <c r="D225" s="6" t="str">
        <f t="shared" si="13"/>
        <v>KT8</v>
      </c>
      <c r="E225" s="6" t="str">
        <f t="shared" si="14"/>
        <v xml:space="preserve">FL </v>
      </c>
      <c r="F225" s="6" t="str">
        <f t="shared" si="15"/>
        <v>F84680</v>
      </c>
    </row>
    <row r="226" spans="1:6" x14ac:dyDescent="0.3">
      <c r="A226" s="6">
        <v>225</v>
      </c>
      <c r="B226" s="6" t="s">
        <v>244</v>
      </c>
      <c r="C226" s="6" t="str">
        <f t="shared" si="12"/>
        <v xml:space="preserve">KT8FL </v>
      </c>
      <c r="D226" s="6" t="str">
        <f t="shared" si="13"/>
        <v>KT8</v>
      </c>
      <c r="E226" s="6" t="str">
        <f t="shared" si="14"/>
        <v xml:space="preserve">FL </v>
      </c>
      <c r="F226" s="6" t="str">
        <f t="shared" si="15"/>
        <v>E06462</v>
      </c>
    </row>
    <row r="227" spans="1:6" x14ac:dyDescent="0.3">
      <c r="A227" s="6">
        <v>226</v>
      </c>
      <c r="B227" s="6" t="s">
        <v>245</v>
      </c>
      <c r="C227" s="6" t="str">
        <f t="shared" si="12"/>
        <v xml:space="preserve">KT8FL </v>
      </c>
      <c r="D227" s="6" t="str">
        <f t="shared" si="13"/>
        <v>KT8</v>
      </c>
      <c r="E227" s="6" t="str">
        <f t="shared" si="14"/>
        <v xml:space="preserve">FL </v>
      </c>
      <c r="F227" s="6" t="str">
        <f t="shared" si="15"/>
        <v>F96880</v>
      </c>
    </row>
    <row r="228" spans="1:6" x14ac:dyDescent="0.3">
      <c r="A228" s="6">
        <v>227</v>
      </c>
      <c r="B228" s="6" t="s">
        <v>246</v>
      </c>
      <c r="C228" s="6" t="str">
        <f t="shared" si="12"/>
        <v xml:space="preserve">KT8FL </v>
      </c>
      <c r="D228" s="6" t="str">
        <f t="shared" si="13"/>
        <v>KT8</v>
      </c>
      <c r="E228" s="6" t="str">
        <f t="shared" si="14"/>
        <v xml:space="preserve">FL </v>
      </c>
      <c r="F228" s="6" t="str">
        <f t="shared" si="15"/>
        <v>F96972</v>
      </c>
    </row>
    <row r="229" spans="1:6" x14ac:dyDescent="0.3">
      <c r="A229" s="6">
        <v>228</v>
      </c>
      <c r="B229" s="6" t="s">
        <v>247</v>
      </c>
      <c r="C229" s="6" t="str">
        <f t="shared" si="12"/>
        <v xml:space="preserve">KT8FL </v>
      </c>
      <c r="D229" s="6" t="str">
        <f t="shared" si="13"/>
        <v>KT8</v>
      </c>
      <c r="E229" s="6" t="str">
        <f t="shared" si="14"/>
        <v xml:space="preserve">FL </v>
      </c>
      <c r="F229" s="6" t="str">
        <f t="shared" si="15"/>
        <v>E06555</v>
      </c>
    </row>
    <row r="230" spans="1:6" x14ac:dyDescent="0.3">
      <c r="A230" s="6">
        <v>229</v>
      </c>
      <c r="B230" s="6" t="s">
        <v>248</v>
      </c>
      <c r="C230" s="6" t="str">
        <f t="shared" si="12"/>
        <v xml:space="preserve">KT8FL </v>
      </c>
      <c r="D230" s="6" t="str">
        <f t="shared" si="13"/>
        <v>KT8</v>
      </c>
      <c r="E230" s="6" t="str">
        <f t="shared" si="14"/>
        <v xml:space="preserve">FL </v>
      </c>
      <c r="F230" s="6" t="str">
        <f t="shared" si="15"/>
        <v>F84744</v>
      </c>
    </row>
    <row r="231" spans="1:6" x14ac:dyDescent="0.3">
      <c r="A231" s="6">
        <v>230</v>
      </c>
      <c r="B231" s="6" t="s">
        <v>249</v>
      </c>
      <c r="C231" s="6" t="str">
        <f t="shared" si="12"/>
        <v xml:space="preserve">KT8FL </v>
      </c>
      <c r="D231" s="6" t="str">
        <f t="shared" si="13"/>
        <v>KT8</v>
      </c>
      <c r="E231" s="6" t="str">
        <f t="shared" si="14"/>
        <v xml:space="preserve">FL </v>
      </c>
      <c r="F231" s="6" t="str">
        <f t="shared" si="15"/>
        <v>515039</v>
      </c>
    </row>
    <row r="232" spans="1:6" x14ac:dyDescent="0.3">
      <c r="A232" s="6">
        <v>231</v>
      </c>
      <c r="B232" s="6" t="s">
        <v>250</v>
      </c>
      <c r="C232" s="6" t="str">
        <f t="shared" si="12"/>
        <v xml:space="preserve">KT8FL </v>
      </c>
      <c r="D232" s="6" t="str">
        <f t="shared" si="13"/>
        <v>KT8</v>
      </c>
      <c r="E232" s="6" t="str">
        <f t="shared" si="14"/>
        <v xml:space="preserve">FL </v>
      </c>
      <c r="F232" s="6" t="str">
        <f t="shared" si="15"/>
        <v>E48043</v>
      </c>
    </row>
    <row r="233" spans="1:6" x14ac:dyDescent="0.3">
      <c r="A233" s="6">
        <v>232</v>
      </c>
      <c r="B233" s="6" t="s">
        <v>251</v>
      </c>
      <c r="C233" s="6" t="str">
        <f t="shared" si="12"/>
        <v xml:space="preserve">KT8FL </v>
      </c>
      <c r="D233" s="6" t="str">
        <f t="shared" si="13"/>
        <v>KT8</v>
      </c>
      <c r="E233" s="6" t="str">
        <f t="shared" si="14"/>
        <v xml:space="preserve">FL </v>
      </c>
      <c r="F233" s="6" t="str">
        <f t="shared" si="15"/>
        <v>E06503</v>
      </c>
    </row>
    <row r="234" spans="1:6" x14ac:dyDescent="0.3">
      <c r="A234" s="6">
        <v>233</v>
      </c>
      <c r="B234" s="6" t="s">
        <v>252</v>
      </c>
      <c r="C234" s="6" t="str">
        <f t="shared" si="12"/>
        <v xml:space="preserve">KT8FL </v>
      </c>
      <c r="D234" s="6" t="str">
        <f t="shared" si="13"/>
        <v>KT8</v>
      </c>
      <c r="E234" s="6" t="str">
        <f t="shared" si="14"/>
        <v xml:space="preserve">FL </v>
      </c>
      <c r="F234" s="6" t="str">
        <f t="shared" si="15"/>
        <v>E06457</v>
      </c>
    </row>
    <row r="235" spans="1:6" x14ac:dyDescent="0.3">
      <c r="A235" s="6">
        <v>234</v>
      </c>
      <c r="B235" s="6" t="s">
        <v>253</v>
      </c>
      <c r="C235" s="6" t="str">
        <f t="shared" si="12"/>
        <v xml:space="preserve">KT8FL </v>
      </c>
      <c r="D235" s="6" t="str">
        <f t="shared" si="13"/>
        <v>KT8</v>
      </c>
      <c r="E235" s="6" t="str">
        <f t="shared" si="14"/>
        <v xml:space="preserve">FL </v>
      </c>
      <c r="F235" s="6" t="str">
        <f t="shared" si="15"/>
        <v>G00061</v>
      </c>
    </row>
    <row r="236" spans="1:6" x14ac:dyDescent="0.3">
      <c r="A236" s="6">
        <v>235</v>
      </c>
      <c r="B236" s="6" t="s">
        <v>254</v>
      </c>
      <c r="C236" s="6" t="str">
        <f t="shared" si="12"/>
        <v xml:space="preserve">KT8FL </v>
      </c>
      <c r="D236" s="6" t="str">
        <f t="shared" si="13"/>
        <v>KT8</v>
      </c>
      <c r="E236" s="6" t="str">
        <f t="shared" si="14"/>
        <v xml:space="preserve">FL </v>
      </c>
      <c r="F236" s="6" t="str">
        <f t="shared" si="15"/>
        <v>E33232</v>
      </c>
    </row>
    <row r="237" spans="1:6" x14ac:dyDescent="0.3">
      <c r="A237" s="6">
        <v>236</v>
      </c>
      <c r="B237" s="6" t="s">
        <v>255</v>
      </c>
      <c r="C237" s="6" t="str">
        <f t="shared" si="12"/>
        <v xml:space="preserve">KT8FL </v>
      </c>
      <c r="D237" s="6" t="str">
        <f t="shared" si="13"/>
        <v>KT8</v>
      </c>
      <c r="E237" s="6" t="str">
        <f t="shared" si="14"/>
        <v xml:space="preserve">FL </v>
      </c>
      <c r="F237" s="6" t="str">
        <f t="shared" si="15"/>
        <v>515184</v>
      </c>
    </row>
    <row r="238" spans="1:6" x14ac:dyDescent="0.3">
      <c r="A238" s="6">
        <v>237</v>
      </c>
      <c r="B238" s="6" t="s">
        <v>256</v>
      </c>
      <c r="C238" s="6" t="str">
        <f t="shared" si="12"/>
        <v xml:space="preserve">KT8FL </v>
      </c>
      <c r="D238" s="6" t="str">
        <f t="shared" si="13"/>
        <v>KT8</v>
      </c>
      <c r="E238" s="6" t="str">
        <f t="shared" si="14"/>
        <v xml:space="preserve">FL </v>
      </c>
      <c r="F238" s="6" t="str">
        <f t="shared" si="15"/>
        <v>G00198</v>
      </c>
    </row>
    <row r="239" spans="1:6" x14ac:dyDescent="0.3">
      <c r="A239" s="6">
        <v>238</v>
      </c>
      <c r="B239" s="6" t="s">
        <v>257</v>
      </c>
      <c r="C239" s="6" t="str">
        <f t="shared" si="12"/>
        <v xml:space="preserve">KT8FL </v>
      </c>
      <c r="D239" s="6" t="str">
        <f t="shared" si="13"/>
        <v>KT8</v>
      </c>
      <c r="E239" s="6" t="str">
        <f t="shared" si="14"/>
        <v xml:space="preserve">FL </v>
      </c>
      <c r="F239" s="6" t="str">
        <f t="shared" si="15"/>
        <v>E25972</v>
      </c>
    </row>
    <row r="240" spans="1:6" x14ac:dyDescent="0.3">
      <c r="A240" s="6">
        <v>239</v>
      </c>
      <c r="B240" s="6" t="s">
        <v>258</v>
      </c>
      <c r="C240" s="6" t="str">
        <f t="shared" si="12"/>
        <v xml:space="preserve">KT8FL </v>
      </c>
      <c r="D240" s="6" t="str">
        <f t="shared" si="13"/>
        <v>KT8</v>
      </c>
      <c r="E240" s="6" t="str">
        <f t="shared" si="14"/>
        <v xml:space="preserve">FL </v>
      </c>
      <c r="F240" s="6" t="str">
        <f t="shared" si="15"/>
        <v>515206</v>
      </c>
    </row>
    <row r="241" spans="1:6" x14ac:dyDescent="0.3">
      <c r="A241" s="6">
        <v>240</v>
      </c>
      <c r="B241" s="6" t="s">
        <v>259</v>
      </c>
      <c r="C241" s="6" t="str">
        <f t="shared" si="12"/>
        <v xml:space="preserve">KT8FL </v>
      </c>
      <c r="D241" s="6" t="str">
        <f t="shared" si="13"/>
        <v>KT8</v>
      </c>
      <c r="E241" s="6" t="str">
        <f t="shared" si="14"/>
        <v xml:space="preserve">FL </v>
      </c>
      <c r="F241" s="6" t="str">
        <f t="shared" si="15"/>
        <v>515172</v>
      </c>
    </row>
    <row r="242" spans="1:6" x14ac:dyDescent="0.3">
      <c r="A242" s="6">
        <v>241</v>
      </c>
      <c r="B242" s="6" t="s">
        <v>260</v>
      </c>
      <c r="C242" s="6" t="str">
        <f t="shared" si="12"/>
        <v xml:space="preserve">KT8FL </v>
      </c>
      <c r="D242" s="6" t="str">
        <f t="shared" si="13"/>
        <v>KT8</v>
      </c>
      <c r="E242" s="6" t="str">
        <f t="shared" si="14"/>
        <v xml:space="preserve">FL </v>
      </c>
      <c r="F242" s="6" t="str">
        <f t="shared" si="15"/>
        <v>F84749</v>
      </c>
    </row>
    <row r="243" spans="1:6" x14ac:dyDescent="0.3">
      <c r="A243" s="6">
        <v>242</v>
      </c>
      <c r="B243" s="6" t="s">
        <v>261</v>
      </c>
      <c r="C243" s="6" t="str">
        <f t="shared" si="12"/>
        <v xml:space="preserve">KT8FL </v>
      </c>
      <c r="D243" s="6" t="str">
        <f t="shared" si="13"/>
        <v>KT8</v>
      </c>
      <c r="E243" s="6" t="str">
        <f t="shared" si="14"/>
        <v xml:space="preserve">FL </v>
      </c>
      <c r="F243" s="6" t="str">
        <f t="shared" si="15"/>
        <v>515185</v>
      </c>
    </row>
    <row r="244" spans="1:6" x14ac:dyDescent="0.3">
      <c r="A244" s="6">
        <v>243</v>
      </c>
      <c r="B244" s="6" t="s">
        <v>262</v>
      </c>
      <c r="C244" s="6" t="str">
        <f t="shared" si="12"/>
        <v xml:space="preserve">KT8FL </v>
      </c>
      <c r="D244" s="6" t="str">
        <f t="shared" si="13"/>
        <v>KT8</v>
      </c>
      <c r="E244" s="6" t="str">
        <f t="shared" si="14"/>
        <v xml:space="preserve">FL </v>
      </c>
      <c r="F244" s="6" t="str">
        <f t="shared" si="15"/>
        <v>515033</v>
      </c>
    </row>
    <row r="245" spans="1:6" x14ac:dyDescent="0.3">
      <c r="A245" s="6">
        <v>244</v>
      </c>
      <c r="B245" s="6" t="s">
        <v>263</v>
      </c>
      <c r="C245" s="6" t="str">
        <f t="shared" si="12"/>
        <v xml:space="preserve">KT8FL </v>
      </c>
      <c r="D245" s="6" t="str">
        <f t="shared" si="13"/>
        <v>KT8</v>
      </c>
      <c r="E245" s="6" t="str">
        <f t="shared" si="14"/>
        <v xml:space="preserve">FL </v>
      </c>
      <c r="F245" s="6" t="str">
        <f t="shared" si="15"/>
        <v>515104</v>
      </c>
    </row>
    <row r="246" spans="1:6" x14ac:dyDescent="0.3">
      <c r="A246" s="6">
        <v>245</v>
      </c>
      <c r="B246" s="6" t="s">
        <v>264</v>
      </c>
      <c r="C246" s="6" t="str">
        <f t="shared" si="12"/>
        <v xml:space="preserve">KT8FL </v>
      </c>
      <c r="D246" s="6" t="str">
        <f t="shared" si="13"/>
        <v>KT8</v>
      </c>
      <c r="E246" s="6" t="str">
        <f t="shared" si="14"/>
        <v xml:space="preserve">FL </v>
      </c>
      <c r="F246" s="6" t="str">
        <f t="shared" si="15"/>
        <v>E06413</v>
      </c>
    </row>
    <row r="247" spans="1:6" x14ac:dyDescent="0.3">
      <c r="A247" s="6">
        <v>246</v>
      </c>
      <c r="B247" s="6" t="s">
        <v>265</v>
      </c>
      <c r="C247" s="6" t="str">
        <f t="shared" si="12"/>
        <v xml:space="preserve">KT8FL </v>
      </c>
      <c r="D247" s="6" t="str">
        <f t="shared" si="13"/>
        <v>KT8</v>
      </c>
      <c r="E247" s="6" t="str">
        <f t="shared" si="14"/>
        <v xml:space="preserve">FL </v>
      </c>
      <c r="F247" s="6" t="str">
        <f t="shared" si="15"/>
        <v>515040</v>
      </c>
    </row>
    <row r="248" spans="1:6" x14ac:dyDescent="0.3">
      <c r="A248" s="6">
        <v>247</v>
      </c>
      <c r="B248" s="6" t="s">
        <v>266</v>
      </c>
      <c r="C248" s="6" t="str">
        <f t="shared" si="12"/>
        <v xml:space="preserve">KT8FL </v>
      </c>
      <c r="D248" s="6" t="str">
        <f t="shared" si="13"/>
        <v>KT8</v>
      </c>
      <c r="E248" s="6" t="str">
        <f t="shared" si="14"/>
        <v xml:space="preserve">FL </v>
      </c>
      <c r="F248" s="6" t="str">
        <f t="shared" si="15"/>
        <v>508881</v>
      </c>
    </row>
    <row r="249" spans="1:6" x14ac:dyDescent="0.3">
      <c r="A249" s="6">
        <v>248</v>
      </c>
      <c r="B249" s="6" t="s">
        <v>267</v>
      </c>
      <c r="C249" s="6" t="str">
        <f t="shared" si="12"/>
        <v xml:space="preserve">KT8FL </v>
      </c>
      <c r="D249" s="6" t="str">
        <f t="shared" si="13"/>
        <v>KT8</v>
      </c>
      <c r="E249" s="6" t="str">
        <f t="shared" si="14"/>
        <v xml:space="preserve">FL </v>
      </c>
      <c r="F249" s="6" t="str">
        <f t="shared" si="15"/>
        <v>E33204</v>
      </c>
    </row>
    <row r="250" spans="1:6" x14ac:dyDescent="0.3">
      <c r="A250" s="6">
        <v>249</v>
      </c>
      <c r="B250" s="6" t="s">
        <v>268</v>
      </c>
      <c r="C250" s="6" t="str">
        <f t="shared" si="12"/>
        <v xml:space="preserve">KT8FL </v>
      </c>
      <c r="D250" s="6" t="str">
        <f t="shared" si="13"/>
        <v>KT8</v>
      </c>
      <c r="E250" s="6" t="str">
        <f t="shared" si="14"/>
        <v xml:space="preserve">FL </v>
      </c>
      <c r="F250" s="6" t="str">
        <f t="shared" si="15"/>
        <v>E06402</v>
      </c>
    </row>
    <row r="251" spans="1:6" x14ac:dyDescent="0.3">
      <c r="A251" s="6">
        <v>250</v>
      </c>
      <c r="B251" s="6" t="s">
        <v>269</v>
      </c>
      <c r="C251" s="6" t="str">
        <f t="shared" si="12"/>
        <v xml:space="preserve">KT8FL </v>
      </c>
      <c r="D251" s="6" t="str">
        <f t="shared" si="13"/>
        <v>KT8</v>
      </c>
      <c r="E251" s="6" t="str">
        <f t="shared" si="14"/>
        <v xml:space="preserve">FL </v>
      </c>
      <c r="F251" s="6" t="str">
        <f t="shared" si="15"/>
        <v>E33286</v>
      </c>
    </row>
    <row r="252" spans="1:6" x14ac:dyDescent="0.3">
      <c r="A252" s="6">
        <v>251</v>
      </c>
      <c r="B252" s="6" t="s">
        <v>270</v>
      </c>
      <c r="C252" s="6" t="str">
        <f t="shared" si="12"/>
        <v xml:space="preserve">KT8FL </v>
      </c>
      <c r="D252" s="6" t="str">
        <f t="shared" si="13"/>
        <v>KT8</v>
      </c>
      <c r="E252" s="6" t="str">
        <f t="shared" si="14"/>
        <v xml:space="preserve">FL </v>
      </c>
      <c r="F252" s="6" t="str">
        <f t="shared" si="15"/>
        <v>F96876</v>
      </c>
    </row>
    <row r="253" spans="1:6" x14ac:dyDescent="0.3">
      <c r="A253" s="6">
        <v>252</v>
      </c>
      <c r="B253" s="6" t="s">
        <v>271</v>
      </c>
      <c r="C253" s="6" t="str">
        <f t="shared" si="12"/>
        <v xml:space="preserve">KT8FL </v>
      </c>
      <c r="D253" s="6" t="str">
        <f t="shared" si="13"/>
        <v>KT8</v>
      </c>
      <c r="E253" s="6" t="str">
        <f t="shared" si="14"/>
        <v xml:space="preserve">FL </v>
      </c>
      <c r="F253" s="6" t="str">
        <f t="shared" si="15"/>
        <v>515150</v>
      </c>
    </row>
    <row r="254" spans="1:6" x14ac:dyDescent="0.3">
      <c r="A254" s="6">
        <v>253</v>
      </c>
      <c r="B254" s="6" t="s">
        <v>272</v>
      </c>
      <c r="C254" s="6" t="str">
        <f t="shared" si="12"/>
        <v xml:space="preserve">KT8FL </v>
      </c>
      <c r="D254" s="6" t="str">
        <f t="shared" si="13"/>
        <v>KT8</v>
      </c>
      <c r="E254" s="6" t="str">
        <f t="shared" si="14"/>
        <v xml:space="preserve">FL </v>
      </c>
      <c r="F254" s="6" t="str">
        <f t="shared" si="15"/>
        <v>E48172</v>
      </c>
    </row>
    <row r="255" spans="1:6" x14ac:dyDescent="0.3">
      <c r="A255" s="6">
        <v>254</v>
      </c>
      <c r="B255" s="6" t="s">
        <v>273</v>
      </c>
      <c r="C255" s="6" t="str">
        <f t="shared" si="12"/>
        <v xml:space="preserve">KT8FL </v>
      </c>
      <c r="D255" s="6" t="str">
        <f t="shared" si="13"/>
        <v>KT8</v>
      </c>
      <c r="E255" s="6" t="str">
        <f t="shared" si="14"/>
        <v xml:space="preserve">FL </v>
      </c>
      <c r="F255" s="6" t="str">
        <f t="shared" si="15"/>
        <v>E48024</v>
      </c>
    </row>
    <row r="256" spans="1:6" x14ac:dyDescent="0.3">
      <c r="A256" s="6">
        <v>255</v>
      </c>
      <c r="B256" s="6" t="s">
        <v>274</v>
      </c>
      <c r="C256" s="6" t="str">
        <f t="shared" si="12"/>
        <v xml:space="preserve">KT8FL </v>
      </c>
      <c r="D256" s="6" t="str">
        <f t="shared" si="13"/>
        <v>KT8</v>
      </c>
      <c r="E256" s="6" t="str">
        <f t="shared" si="14"/>
        <v xml:space="preserve">FL </v>
      </c>
      <c r="F256" s="6" t="str">
        <f t="shared" si="15"/>
        <v>E06465</v>
      </c>
    </row>
    <row r="257" spans="1:6" x14ac:dyDescent="0.3">
      <c r="A257" s="6">
        <v>256</v>
      </c>
      <c r="B257" s="6" t="s">
        <v>275</v>
      </c>
      <c r="C257" s="6" t="str">
        <f t="shared" si="12"/>
        <v xml:space="preserve">KT8FL </v>
      </c>
      <c r="D257" s="6" t="str">
        <f t="shared" si="13"/>
        <v>KT8</v>
      </c>
      <c r="E257" s="6" t="str">
        <f t="shared" si="14"/>
        <v xml:space="preserve">FL </v>
      </c>
      <c r="F257" s="6" t="str">
        <f t="shared" si="15"/>
        <v>E06401</v>
      </c>
    </row>
    <row r="258" spans="1:6" x14ac:dyDescent="0.3">
      <c r="A258" s="6">
        <v>257</v>
      </c>
      <c r="B258" s="6" t="s">
        <v>276</v>
      </c>
      <c r="C258" s="6" t="str">
        <f t="shared" si="12"/>
        <v xml:space="preserve">KT8FL </v>
      </c>
      <c r="D258" s="6" t="str">
        <f t="shared" si="13"/>
        <v>KT8</v>
      </c>
      <c r="E258" s="6" t="str">
        <f t="shared" si="14"/>
        <v xml:space="preserve">FL </v>
      </c>
      <c r="F258" s="6" t="str">
        <f t="shared" si="15"/>
        <v>G00069</v>
      </c>
    </row>
    <row r="259" spans="1:6" x14ac:dyDescent="0.3">
      <c r="A259" s="6">
        <v>258</v>
      </c>
      <c r="B259" s="6" t="s">
        <v>277</v>
      </c>
      <c r="C259" s="6" t="str">
        <f t="shared" ref="C259:C322" si="16">LEFT(B259,6)</f>
        <v xml:space="preserve">KT8FL </v>
      </c>
      <c r="D259" s="6" t="str">
        <f t="shared" ref="D259:D322" si="17">LEFT(C259,3)</f>
        <v>KT8</v>
      </c>
      <c r="E259" s="6" t="str">
        <f t="shared" ref="E259:E322" si="18">RIGHT(C259,3)</f>
        <v xml:space="preserve">FL </v>
      </c>
      <c r="F259" s="6" t="str">
        <f t="shared" ref="F259:F322" si="19">RIGHT(B259,6)</f>
        <v>F84723</v>
      </c>
    </row>
    <row r="260" spans="1:6" x14ac:dyDescent="0.3">
      <c r="A260" s="6">
        <v>259</v>
      </c>
      <c r="B260" s="6" t="s">
        <v>278</v>
      </c>
      <c r="C260" s="6" t="str">
        <f t="shared" si="16"/>
        <v xml:space="preserve">KT8FL </v>
      </c>
      <c r="D260" s="6" t="str">
        <f t="shared" si="17"/>
        <v>KT8</v>
      </c>
      <c r="E260" s="6" t="str">
        <f t="shared" si="18"/>
        <v xml:space="preserve">FL </v>
      </c>
      <c r="F260" s="6" t="str">
        <f t="shared" si="19"/>
        <v>515189</v>
      </c>
    </row>
    <row r="261" spans="1:6" x14ac:dyDescent="0.3">
      <c r="A261" s="6">
        <v>260</v>
      </c>
      <c r="B261" s="6" t="s">
        <v>279</v>
      </c>
      <c r="C261" s="6" t="str">
        <f t="shared" si="16"/>
        <v xml:space="preserve">KT8FL </v>
      </c>
      <c r="D261" s="6" t="str">
        <f t="shared" si="17"/>
        <v>KT8</v>
      </c>
      <c r="E261" s="6" t="str">
        <f t="shared" si="18"/>
        <v xml:space="preserve">FL </v>
      </c>
      <c r="F261" s="6" t="str">
        <f t="shared" si="19"/>
        <v>E06453</v>
      </c>
    </row>
    <row r="262" spans="1:6" x14ac:dyDescent="0.3">
      <c r="A262" s="6">
        <v>261</v>
      </c>
      <c r="B262" s="6" t="s">
        <v>280</v>
      </c>
      <c r="C262" s="6" t="str">
        <f t="shared" si="16"/>
        <v xml:space="preserve">KT8FL </v>
      </c>
      <c r="D262" s="6" t="str">
        <f t="shared" si="17"/>
        <v>KT8</v>
      </c>
      <c r="E262" s="6" t="str">
        <f t="shared" si="18"/>
        <v xml:space="preserve">FL </v>
      </c>
      <c r="F262" s="6" t="str">
        <f t="shared" si="19"/>
        <v>E48015</v>
      </c>
    </row>
    <row r="263" spans="1:6" x14ac:dyDescent="0.3">
      <c r="A263" s="6">
        <v>262</v>
      </c>
      <c r="B263" s="6" t="s">
        <v>281</v>
      </c>
      <c r="C263" s="6" t="str">
        <f t="shared" si="16"/>
        <v xml:space="preserve">KT8FL </v>
      </c>
      <c r="D263" s="6" t="str">
        <f t="shared" si="17"/>
        <v>KT8</v>
      </c>
      <c r="E263" s="6" t="str">
        <f t="shared" si="18"/>
        <v xml:space="preserve">FL </v>
      </c>
      <c r="F263" s="6" t="str">
        <f t="shared" si="19"/>
        <v>E06411</v>
      </c>
    </row>
    <row r="264" spans="1:6" x14ac:dyDescent="0.3">
      <c r="A264" s="6">
        <v>263</v>
      </c>
      <c r="B264" s="6" t="s">
        <v>282</v>
      </c>
      <c r="C264" s="6" t="str">
        <f t="shared" si="16"/>
        <v xml:space="preserve">KT8FL </v>
      </c>
      <c r="D264" s="6" t="str">
        <f t="shared" si="17"/>
        <v>KT8</v>
      </c>
      <c r="E264" s="6" t="str">
        <f t="shared" si="18"/>
        <v xml:space="preserve">FL </v>
      </c>
      <c r="F264" s="6" t="str">
        <f t="shared" si="19"/>
        <v>E48027</v>
      </c>
    </row>
    <row r="265" spans="1:6" x14ac:dyDescent="0.3">
      <c r="A265" s="6">
        <v>264</v>
      </c>
      <c r="B265" s="6" t="s">
        <v>283</v>
      </c>
      <c r="C265" s="6" t="str">
        <f t="shared" si="16"/>
        <v xml:space="preserve">KT8FL </v>
      </c>
      <c r="D265" s="6" t="str">
        <f t="shared" si="17"/>
        <v>KT8</v>
      </c>
      <c r="E265" s="6" t="str">
        <f t="shared" si="18"/>
        <v xml:space="preserve">FL </v>
      </c>
      <c r="F265" s="6" t="str">
        <f t="shared" si="19"/>
        <v>E48019</v>
      </c>
    </row>
    <row r="266" spans="1:6" x14ac:dyDescent="0.3">
      <c r="A266" s="6">
        <v>265</v>
      </c>
      <c r="B266" s="6" t="s">
        <v>284</v>
      </c>
      <c r="C266" s="6" t="str">
        <f t="shared" si="16"/>
        <v xml:space="preserve">KT8FL </v>
      </c>
      <c r="D266" s="6" t="str">
        <f t="shared" si="17"/>
        <v>KT8</v>
      </c>
      <c r="E266" s="6" t="str">
        <f t="shared" si="18"/>
        <v xml:space="preserve">FL </v>
      </c>
      <c r="F266" s="6" t="str">
        <f t="shared" si="19"/>
        <v>515047</v>
      </c>
    </row>
    <row r="267" spans="1:6" x14ac:dyDescent="0.3">
      <c r="A267" s="6">
        <v>266</v>
      </c>
      <c r="B267" s="6" t="s">
        <v>285</v>
      </c>
      <c r="C267" s="6" t="str">
        <f t="shared" si="16"/>
        <v xml:space="preserve">KT8FL </v>
      </c>
      <c r="D267" s="6" t="str">
        <f t="shared" si="17"/>
        <v>KT8</v>
      </c>
      <c r="E267" s="6" t="str">
        <f t="shared" si="18"/>
        <v xml:space="preserve">FL </v>
      </c>
      <c r="F267" s="6" t="str">
        <f t="shared" si="19"/>
        <v>E33205</v>
      </c>
    </row>
    <row r="268" spans="1:6" x14ac:dyDescent="0.3">
      <c r="A268" s="6">
        <v>267</v>
      </c>
      <c r="B268" s="6" t="s">
        <v>286</v>
      </c>
      <c r="C268" s="6" t="str">
        <f t="shared" si="16"/>
        <v xml:space="preserve">KT8FL </v>
      </c>
      <c r="D268" s="6" t="str">
        <f t="shared" si="17"/>
        <v>KT8</v>
      </c>
      <c r="E268" s="6" t="str">
        <f t="shared" si="18"/>
        <v xml:space="preserve">FL </v>
      </c>
      <c r="F268" s="6" t="str">
        <f t="shared" si="19"/>
        <v>E06543</v>
      </c>
    </row>
    <row r="269" spans="1:6" x14ac:dyDescent="0.3">
      <c r="A269" s="6">
        <v>268</v>
      </c>
      <c r="B269" s="6" t="s">
        <v>287</v>
      </c>
      <c r="C269" s="6" t="str">
        <f t="shared" si="16"/>
        <v xml:space="preserve">KT8FL </v>
      </c>
      <c r="D269" s="6" t="str">
        <f t="shared" si="17"/>
        <v>KT8</v>
      </c>
      <c r="E269" s="6" t="str">
        <f t="shared" si="18"/>
        <v xml:space="preserve">FL </v>
      </c>
      <c r="F269" s="6" t="str">
        <f t="shared" si="19"/>
        <v>E06551</v>
      </c>
    </row>
    <row r="270" spans="1:6" x14ac:dyDescent="0.3">
      <c r="A270" s="6">
        <v>269</v>
      </c>
      <c r="B270" s="6" t="s">
        <v>288</v>
      </c>
      <c r="C270" s="6" t="str">
        <f t="shared" si="16"/>
        <v xml:space="preserve">KT8FL </v>
      </c>
      <c r="D270" s="6" t="str">
        <f t="shared" si="17"/>
        <v>KT8</v>
      </c>
      <c r="E270" s="6" t="str">
        <f t="shared" si="18"/>
        <v xml:space="preserve">FL </v>
      </c>
      <c r="F270" s="6" t="str">
        <f t="shared" si="19"/>
        <v>E06464</v>
      </c>
    </row>
    <row r="271" spans="1:6" x14ac:dyDescent="0.3">
      <c r="A271" s="6">
        <v>270</v>
      </c>
      <c r="B271" s="6" t="s">
        <v>289</v>
      </c>
      <c r="C271" s="6" t="str">
        <f t="shared" si="16"/>
        <v xml:space="preserve">KT8FL </v>
      </c>
      <c r="D271" s="6" t="str">
        <f t="shared" si="17"/>
        <v>KT8</v>
      </c>
      <c r="E271" s="6" t="str">
        <f t="shared" si="18"/>
        <v xml:space="preserve">FL </v>
      </c>
      <c r="F271" s="6" t="str">
        <f t="shared" si="19"/>
        <v>E25971</v>
      </c>
    </row>
    <row r="272" spans="1:6" x14ac:dyDescent="0.3">
      <c r="A272" s="6">
        <v>271</v>
      </c>
      <c r="B272" s="6" t="s">
        <v>290</v>
      </c>
      <c r="C272" s="6" t="str">
        <f t="shared" si="16"/>
        <v xml:space="preserve">KT8FL </v>
      </c>
      <c r="D272" s="6" t="str">
        <f t="shared" si="17"/>
        <v>KT8</v>
      </c>
      <c r="E272" s="6" t="str">
        <f t="shared" si="18"/>
        <v xml:space="preserve">FL </v>
      </c>
      <c r="F272" s="6" t="str">
        <f t="shared" si="19"/>
        <v>F84726</v>
      </c>
    </row>
    <row r="273" spans="1:6" x14ac:dyDescent="0.3">
      <c r="A273" s="6">
        <v>272</v>
      </c>
      <c r="B273" s="6" t="s">
        <v>291</v>
      </c>
      <c r="C273" s="6" t="str">
        <f t="shared" si="16"/>
        <v xml:space="preserve">KT8FL </v>
      </c>
      <c r="D273" s="6" t="str">
        <f t="shared" si="17"/>
        <v>KT8</v>
      </c>
      <c r="E273" s="6" t="str">
        <f t="shared" si="18"/>
        <v xml:space="preserve">FL </v>
      </c>
      <c r="F273" s="6" t="str">
        <f t="shared" si="19"/>
        <v>E48167</v>
      </c>
    </row>
    <row r="274" spans="1:6" x14ac:dyDescent="0.3">
      <c r="A274" s="6">
        <v>273</v>
      </c>
      <c r="B274" s="6" t="s">
        <v>292</v>
      </c>
      <c r="C274" s="6" t="str">
        <f t="shared" si="16"/>
        <v xml:space="preserve">KT8FL </v>
      </c>
      <c r="D274" s="6" t="str">
        <f t="shared" si="17"/>
        <v>KT8</v>
      </c>
      <c r="E274" s="6" t="str">
        <f t="shared" si="18"/>
        <v xml:space="preserve">FL </v>
      </c>
      <c r="F274" s="6" t="str">
        <f t="shared" si="19"/>
        <v>G00063</v>
      </c>
    </row>
    <row r="275" spans="1:6" x14ac:dyDescent="0.3">
      <c r="A275" s="6">
        <v>274</v>
      </c>
      <c r="B275" s="6" t="s">
        <v>293</v>
      </c>
      <c r="C275" s="6" t="str">
        <f t="shared" si="16"/>
        <v xml:space="preserve">KT8FL </v>
      </c>
      <c r="D275" s="6" t="str">
        <f t="shared" si="17"/>
        <v>KT8</v>
      </c>
      <c r="E275" s="6" t="str">
        <f t="shared" si="18"/>
        <v xml:space="preserve">FL </v>
      </c>
      <c r="F275" s="6" t="str">
        <f t="shared" si="19"/>
        <v>F96695</v>
      </c>
    </row>
    <row r="276" spans="1:6" x14ac:dyDescent="0.3">
      <c r="A276" s="6">
        <v>275</v>
      </c>
      <c r="B276" s="6" t="s">
        <v>294</v>
      </c>
      <c r="C276" s="6" t="str">
        <f t="shared" si="16"/>
        <v xml:space="preserve">KT8FL </v>
      </c>
      <c r="D276" s="6" t="str">
        <f t="shared" si="17"/>
        <v>KT8</v>
      </c>
      <c r="E276" s="6" t="str">
        <f t="shared" si="18"/>
        <v xml:space="preserve">FL </v>
      </c>
      <c r="F276" s="6" t="str">
        <f t="shared" si="19"/>
        <v>F96692</v>
      </c>
    </row>
    <row r="277" spans="1:6" x14ac:dyDescent="0.3">
      <c r="A277" s="6">
        <v>276</v>
      </c>
      <c r="B277" s="6" t="s">
        <v>295</v>
      </c>
      <c r="C277" s="6" t="str">
        <f t="shared" si="16"/>
        <v xml:space="preserve">KT8FL </v>
      </c>
      <c r="D277" s="6" t="str">
        <f t="shared" si="17"/>
        <v>KT8</v>
      </c>
      <c r="E277" s="6" t="str">
        <f t="shared" si="18"/>
        <v xml:space="preserve">FL </v>
      </c>
      <c r="F277" s="6" t="str">
        <f t="shared" si="19"/>
        <v>E06564</v>
      </c>
    </row>
    <row r="278" spans="1:6" x14ac:dyDescent="0.3">
      <c r="A278" s="6">
        <v>277</v>
      </c>
      <c r="B278" s="6" t="s">
        <v>296</v>
      </c>
      <c r="C278" s="6" t="str">
        <f t="shared" si="16"/>
        <v xml:space="preserve">KT8FL </v>
      </c>
      <c r="D278" s="6" t="str">
        <f t="shared" si="17"/>
        <v>KT8</v>
      </c>
      <c r="E278" s="6" t="str">
        <f t="shared" si="18"/>
        <v xml:space="preserve">FL </v>
      </c>
      <c r="F278" s="6" t="str">
        <f t="shared" si="19"/>
        <v>E33202</v>
      </c>
    </row>
    <row r="279" spans="1:6" x14ac:dyDescent="0.3">
      <c r="A279" s="6">
        <v>278</v>
      </c>
      <c r="B279" s="6" t="s">
        <v>297</v>
      </c>
      <c r="C279" s="6" t="str">
        <f t="shared" si="16"/>
        <v xml:space="preserve">KT8FL </v>
      </c>
      <c r="D279" s="6" t="str">
        <f t="shared" si="17"/>
        <v>KT8</v>
      </c>
      <c r="E279" s="6" t="str">
        <f t="shared" si="18"/>
        <v xml:space="preserve">FL </v>
      </c>
      <c r="F279" s="6" t="str">
        <f t="shared" si="19"/>
        <v>515036</v>
      </c>
    </row>
    <row r="280" spans="1:6" x14ac:dyDescent="0.3">
      <c r="A280" s="6">
        <v>279</v>
      </c>
      <c r="B280" s="6" t="s">
        <v>298</v>
      </c>
      <c r="C280" s="6" t="str">
        <f t="shared" si="16"/>
        <v xml:space="preserve">KT8FL </v>
      </c>
      <c r="D280" s="6" t="str">
        <f t="shared" si="17"/>
        <v>KT8</v>
      </c>
      <c r="E280" s="6" t="str">
        <f t="shared" si="18"/>
        <v xml:space="preserve">FL </v>
      </c>
      <c r="F280" s="6" t="str">
        <f t="shared" si="19"/>
        <v>E06504</v>
      </c>
    </row>
    <row r="281" spans="1:6" x14ac:dyDescent="0.3">
      <c r="A281" s="6">
        <v>280</v>
      </c>
      <c r="B281" s="6" t="s">
        <v>299</v>
      </c>
      <c r="C281" s="6" t="str">
        <f t="shared" si="16"/>
        <v xml:space="preserve">KT8FL </v>
      </c>
      <c r="D281" s="6" t="str">
        <f t="shared" si="17"/>
        <v>KT8</v>
      </c>
      <c r="E281" s="6" t="str">
        <f t="shared" si="18"/>
        <v xml:space="preserve">FL </v>
      </c>
      <c r="F281" s="6" t="str">
        <f t="shared" si="19"/>
        <v>E06563</v>
      </c>
    </row>
    <row r="282" spans="1:6" x14ac:dyDescent="0.3">
      <c r="A282" s="6">
        <v>281</v>
      </c>
      <c r="B282" s="6" t="s">
        <v>300</v>
      </c>
      <c r="C282" s="6" t="str">
        <f t="shared" si="16"/>
        <v xml:space="preserve">KT8FL </v>
      </c>
      <c r="D282" s="6" t="str">
        <f t="shared" si="17"/>
        <v>KT8</v>
      </c>
      <c r="E282" s="6" t="str">
        <f t="shared" si="18"/>
        <v xml:space="preserve">FL </v>
      </c>
      <c r="F282" s="6" t="str">
        <f t="shared" si="19"/>
        <v>515043</v>
      </c>
    </row>
    <row r="283" spans="1:6" x14ac:dyDescent="0.3">
      <c r="A283" s="6">
        <v>282</v>
      </c>
      <c r="B283" s="6" t="s">
        <v>301</v>
      </c>
      <c r="C283" s="6" t="str">
        <f t="shared" si="16"/>
        <v xml:space="preserve">KT8FL </v>
      </c>
      <c r="D283" s="6" t="str">
        <f t="shared" si="17"/>
        <v>KT8</v>
      </c>
      <c r="E283" s="6" t="str">
        <f t="shared" si="18"/>
        <v xml:space="preserve">FL </v>
      </c>
      <c r="F283" s="6" t="str">
        <f t="shared" si="19"/>
        <v>E06415</v>
      </c>
    </row>
    <row r="284" spans="1:6" x14ac:dyDescent="0.3">
      <c r="A284" s="6">
        <v>283</v>
      </c>
      <c r="B284" s="6" t="s">
        <v>302</v>
      </c>
      <c r="C284" s="6" t="str">
        <f t="shared" si="16"/>
        <v xml:space="preserve">KT8FL </v>
      </c>
      <c r="D284" s="6" t="str">
        <f t="shared" si="17"/>
        <v>KT8</v>
      </c>
      <c r="E284" s="6" t="str">
        <f t="shared" si="18"/>
        <v xml:space="preserve">FL </v>
      </c>
      <c r="F284" s="6" t="str">
        <f t="shared" si="19"/>
        <v>505753</v>
      </c>
    </row>
    <row r="285" spans="1:6" x14ac:dyDescent="0.3">
      <c r="A285" s="6">
        <v>284</v>
      </c>
      <c r="B285" s="6" t="s">
        <v>303</v>
      </c>
      <c r="C285" s="6" t="str">
        <f t="shared" si="16"/>
        <v xml:space="preserve">KT8FL </v>
      </c>
      <c r="D285" s="6" t="str">
        <f t="shared" si="17"/>
        <v>KT8</v>
      </c>
      <c r="E285" s="6" t="str">
        <f t="shared" si="18"/>
        <v xml:space="preserve">FL </v>
      </c>
      <c r="F285" s="6" t="str">
        <f t="shared" si="19"/>
        <v>E06454</v>
      </c>
    </row>
    <row r="286" spans="1:6" x14ac:dyDescent="0.3">
      <c r="A286" s="6">
        <v>285</v>
      </c>
      <c r="B286" s="6" t="s">
        <v>304</v>
      </c>
      <c r="C286" s="6" t="str">
        <f t="shared" si="16"/>
        <v xml:space="preserve">KT8FL </v>
      </c>
      <c r="D286" s="6" t="str">
        <f t="shared" si="17"/>
        <v>KT8</v>
      </c>
      <c r="E286" s="6" t="str">
        <f t="shared" si="18"/>
        <v xml:space="preserve">FL </v>
      </c>
      <c r="F286" s="6" t="str">
        <f t="shared" si="19"/>
        <v>515068</v>
      </c>
    </row>
    <row r="287" spans="1:6" x14ac:dyDescent="0.3">
      <c r="A287" s="6">
        <v>286</v>
      </c>
      <c r="B287" s="6" t="s">
        <v>305</v>
      </c>
      <c r="C287" s="6" t="str">
        <f t="shared" si="16"/>
        <v xml:space="preserve">KT8FL </v>
      </c>
      <c r="D287" s="6" t="str">
        <f t="shared" si="17"/>
        <v>KT8</v>
      </c>
      <c r="E287" s="6" t="str">
        <f t="shared" si="18"/>
        <v xml:space="preserve">FL </v>
      </c>
      <c r="F287" s="6" t="str">
        <f t="shared" si="19"/>
        <v>515178</v>
      </c>
    </row>
    <row r="288" spans="1:6" x14ac:dyDescent="0.3">
      <c r="A288" s="6">
        <v>287</v>
      </c>
      <c r="B288" s="6" t="s">
        <v>306</v>
      </c>
      <c r="C288" s="6" t="str">
        <f t="shared" si="16"/>
        <v xml:space="preserve">KT8FL </v>
      </c>
      <c r="D288" s="6" t="str">
        <f t="shared" si="17"/>
        <v>KT8</v>
      </c>
      <c r="E288" s="6" t="str">
        <f t="shared" si="18"/>
        <v xml:space="preserve">FL </v>
      </c>
      <c r="F288" s="6" t="str">
        <f t="shared" si="19"/>
        <v>515181</v>
      </c>
    </row>
    <row r="289" spans="1:6" x14ac:dyDescent="0.3">
      <c r="A289" s="6">
        <v>288</v>
      </c>
      <c r="B289" s="6" t="s">
        <v>307</v>
      </c>
      <c r="C289" s="6" t="str">
        <f t="shared" si="16"/>
        <v xml:space="preserve">KT8FL </v>
      </c>
      <c r="D289" s="6" t="str">
        <f t="shared" si="17"/>
        <v>KT8</v>
      </c>
      <c r="E289" s="6" t="str">
        <f t="shared" si="18"/>
        <v xml:space="preserve">FL </v>
      </c>
      <c r="F289" s="6" t="str">
        <f t="shared" si="19"/>
        <v>515170</v>
      </c>
    </row>
    <row r="290" spans="1:6" x14ac:dyDescent="0.3">
      <c r="A290" s="6">
        <v>289</v>
      </c>
      <c r="B290" s="6" t="s">
        <v>308</v>
      </c>
      <c r="C290" s="6" t="str">
        <f t="shared" si="16"/>
        <v xml:space="preserve">KT8FL </v>
      </c>
      <c r="D290" s="6" t="str">
        <f t="shared" si="17"/>
        <v>KT8</v>
      </c>
      <c r="E290" s="6" t="str">
        <f t="shared" si="18"/>
        <v xml:space="preserve">FL </v>
      </c>
      <c r="F290" s="6" t="str">
        <f t="shared" si="19"/>
        <v>515093</v>
      </c>
    </row>
    <row r="291" spans="1:6" x14ac:dyDescent="0.3">
      <c r="A291" s="6">
        <v>290</v>
      </c>
      <c r="B291" s="6" t="s">
        <v>309</v>
      </c>
      <c r="C291" s="6" t="str">
        <f t="shared" si="16"/>
        <v xml:space="preserve">KT8FL </v>
      </c>
      <c r="D291" s="6" t="str">
        <f t="shared" si="17"/>
        <v>KT8</v>
      </c>
      <c r="E291" s="6" t="str">
        <f t="shared" si="18"/>
        <v xml:space="preserve">FL </v>
      </c>
      <c r="F291" s="6" t="str">
        <f t="shared" si="19"/>
        <v>515147</v>
      </c>
    </row>
    <row r="292" spans="1:6" x14ac:dyDescent="0.3">
      <c r="A292" s="6">
        <v>291</v>
      </c>
      <c r="B292" s="6" t="s">
        <v>310</v>
      </c>
      <c r="C292" s="6" t="str">
        <f t="shared" si="16"/>
        <v xml:space="preserve">KT8FL </v>
      </c>
      <c r="D292" s="6" t="str">
        <f t="shared" si="17"/>
        <v>KT8</v>
      </c>
      <c r="E292" s="6" t="str">
        <f t="shared" si="18"/>
        <v xml:space="preserve">FL </v>
      </c>
      <c r="F292" s="6" t="str">
        <f t="shared" si="19"/>
        <v>F84730</v>
      </c>
    </row>
    <row r="293" spans="1:6" x14ac:dyDescent="0.3">
      <c r="A293" s="6">
        <v>292</v>
      </c>
      <c r="B293" s="6" t="s">
        <v>311</v>
      </c>
      <c r="C293" s="6" t="str">
        <f t="shared" si="16"/>
        <v xml:space="preserve">KT8FL </v>
      </c>
      <c r="D293" s="6" t="str">
        <f t="shared" si="17"/>
        <v>KT8</v>
      </c>
      <c r="E293" s="6" t="str">
        <f t="shared" si="18"/>
        <v xml:space="preserve">FL </v>
      </c>
      <c r="F293" s="6" t="str">
        <f t="shared" si="19"/>
        <v>E48013</v>
      </c>
    </row>
    <row r="294" spans="1:6" x14ac:dyDescent="0.3">
      <c r="A294" s="6">
        <v>293</v>
      </c>
      <c r="B294" s="6" t="s">
        <v>312</v>
      </c>
      <c r="C294" s="6" t="str">
        <f t="shared" si="16"/>
        <v xml:space="preserve">KT8FL </v>
      </c>
      <c r="D294" s="6" t="str">
        <f t="shared" si="17"/>
        <v>KT8</v>
      </c>
      <c r="E294" s="6" t="str">
        <f t="shared" si="18"/>
        <v xml:space="preserve">FL </v>
      </c>
      <c r="F294" s="6" t="str">
        <f t="shared" si="19"/>
        <v>F84750</v>
      </c>
    </row>
    <row r="295" spans="1:6" x14ac:dyDescent="0.3">
      <c r="A295" s="6">
        <v>294</v>
      </c>
      <c r="B295" s="6" t="s">
        <v>313</v>
      </c>
      <c r="C295" s="6" t="str">
        <f t="shared" si="16"/>
        <v xml:space="preserve">KT8FL </v>
      </c>
      <c r="D295" s="6" t="str">
        <f t="shared" si="17"/>
        <v>KT8</v>
      </c>
      <c r="E295" s="6" t="str">
        <f t="shared" si="18"/>
        <v xml:space="preserve">FL </v>
      </c>
      <c r="F295" s="6" t="str">
        <f t="shared" si="19"/>
        <v>E25973</v>
      </c>
    </row>
    <row r="296" spans="1:6" x14ac:dyDescent="0.3">
      <c r="A296" s="6">
        <v>295</v>
      </c>
      <c r="B296" s="6" t="s">
        <v>314</v>
      </c>
      <c r="C296" s="6" t="str">
        <f t="shared" si="16"/>
        <v xml:space="preserve">KT8FL </v>
      </c>
      <c r="D296" s="6" t="str">
        <f t="shared" si="17"/>
        <v>KT8</v>
      </c>
      <c r="E296" s="6" t="str">
        <f t="shared" si="18"/>
        <v xml:space="preserve">FL </v>
      </c>
      <c r="F296" s="6" t="str">
        <f t="shared" si="19"/>
        <v>F96917</v>
      </c>
    </row>
    <row r="297" spans="1:6" x14ac:dyDescent="0.3">
      <c r="A297" s="6">
        <v>296</v>
      </c>
      <c r="B297" s="6" t="s">
        <v>315</v>
      </c>
      <c r="C297" s="6" t="str">
        <f t="shared" si="16"/>
        <v xml:space="preserve">KT8FL </v>
      </c>
      <c r="D297" s="6" t="str">
        <f t="shared" si="17"/>
        <v>KT8</v>
      </c>
      <c r="E297" s="6" t="str">
        <f t="shared" si="18"/>
        <v xml:space="preserve">FL </v>
      </c>
      <c r="F297" s="6" t="str">
        <f t="shared" si="19"/>
        <v>E48033</v>
      </c>
    </row>
    <row r="298" spans="1:6" x14ac:dyDescent="0.3">
      <c r="A298" s="6">
        <v>297</v>
      </c>
      <c r="B298" s="6" t="s">
        <v>316</v>
      </c>
      <c r="C298" s="6" t="str">
        <f t="shared" si="16"/>
        <v xml:space="preserve">KT8FL </v>
      </c>
      <c r="D298" s="6" t="str">
        <f t="shared" si="17"/>
        <v>KT8</v>
      </c>
      <c r="E298" s="6" t="str">
        <f t="shared" si="18"/>
        <v xml:space="preserve">FL </v>
      </c>
      <c r="F298" s="6" t="str">
        <f t="shared" si="19"/>
        <v>E06412</v>
      </c>
    </row>
    <row r="299" spans="1:6" x14ac:dyDescent="0.3">
      <c r="A299" s="6">
        <v>298</v>
      </c>
      <c r="B299" s="6" t="s">
        <v>317</v>
      </c>
      <c r="C299" s="6" t="str">
        <f t="shared" si="16"/>
        <v xml:space="preserve">KT8FL </v>
      </c>
      <c r="D299" s="6" t="str">
        <f t="shared" si="17"/>
        <v>KT8</v>
      </c>
      <c r="E299" s="6" t="str">
        <f t="shared" si="18"/>
        <v xml:space="preserve">FL </v>
      </c>
      <c r="F299" s="6" t="str">
        <f t="shared" si="19"/>
        <v>E48042</v>
      </c>
    </row>
    <row r="300" spans="1:6" x14ac:dyDescent="0.3">
      <c r="A300" s="6">
        <v>299</v>
      </c>
      <c r="B300" s="6" t="s">
        <v>318</v>
      </c>
      <c r="C300" s="6" t="str">
        <f t="shared" si="16"/>
        <v xml:space="preserve">KT8FL </v>
      </c>
      <c r="D300" s="6" t="str">
        <f t="shared" si="17"/>
        <v>KT8</v>
      </c>
      <c r="E300" s="6" t="str">
        <f t="shared" si="18"/>
        <v xml:space="preserve">FL </v>
      </c>
      <c r="F300" s="6" t="str">
        <f t="shared" si="19"/>
        <v>E33357</v>
      </c>
    </row>
    <row r="301" spans="1:6" x14ac:dyDescent="0.3">
      <c r="A301" s="6">
        <v>300</v>
      </c>
      <c r="B301" s="6" t="s">
        <v>319</v>
      </c>
      <c r="C301" s="6" t="str">
        <f t="shared" si="16"/>
        <v xml:space="preserve">KT8FL </v>
      </c>
      <c r="D301" s="6" t="str">
        <f t="shared" si="17"/>
        <v>KT8</v>
      </c>
      <c r="E301" s="6" t="str">
        <f t="shared" si="18"/>
        <v xml:space="preserve">FL </v>
      </c>
      <c r="F301" s="6" t="str">
        <f t="shared" si="19"/>
        <v>515179</v>
      </c>
    </row>
    <row r="302" spans="1:6" x14ac:dyDescent="0.3">
      <c r="A302" s="6">
        <v>301</v>
      </c>
      <c r="B302" s="6" t="s">
        <v>320</v>
      </c>
      <c r="C302" s="6" t="str">
        <f t="shared" si="16"/>
        <v xml:space="preserve">KT8FL </v>
      </c>
      <c r="D302" s="6" t="str">
        <f t="shared" si="17"/>
        <v>KT8</v>
      </c>
      <c r="E302" s="6" t="str">
        <f t="shared" si="18"/>
        <v xml:space="preserve">FL </v>
      </c>
      <c r="F302" s="6" t="str">
        <f t="shared" si="19"/>
        <v>F96976</v>
      </c>
    </row>
    <row r="303" spans="1:6" x14ac:dyDescent="0.3">
      <c r="A303" s="6">
        <v>302</v>
      </c>
      <c r="B303" s="6" t="s">
        <v>321</v>
      </c>
      <c r="C303" s="6" t="str">
        <f t="shared" si="16"/>
        <v xml:space="preserve">KT8FL </v>
      </c>
      <c r="D303" s="6" t="str">
        <f t="shared" si="17"/>
        <v>KT8</v>
      </c>
      <c r="E303" s="6" t="str">
        <f t="shared" si="18"/>
        <v xml:space="preserve">FL </v>
      </c>
      <c r="F303" s="6" t="str">
        <f t="shared" si="19"/>
        <v>G00062</v>
      </c>
    </row>
    <row r="304" spans="1:6" x14ac:dyDescent="0.3">
      <c r="A304" s="6">
        <v>303</v>
      </c>
      <c r="B304" s="6" t="s">
        <v>322</v>
      </c>
      <c r="C304" s="6" t="str">
        <f t="shared" si="16"/>
        <v xml:space="preserve">KT8FL </v>
      </c>
      <c r="D304" s="6" t="str">
        <f t="shared" si="17"/>
        <v>KT8</v>
      </c>
      <c r="E304" s="6" t="str">
        <f t="shared" si="18"/>
        <v xml:space="preserve">FL </v>
      </c>
      <c r="F304" s="6" t="str">
        <f t="shared" si="19"/>
        <v>E48169</v>
      </c>
    </row>
    <row r="305" spans="1:6" x14ac:dyDescent="0.3">
      <c r="A305" s="6">
        <v>304</v>
      </c>
      <c r="B305" s="6" t="s">
        <v>323</v>
      </c>
      <c r="C305" s="6" t="str">
        <f t="shared" si="16"/>
        <v xml:space="preserve">KT8FL </v>
      </c>
      <c r="D305" s="6" t="str">
        <f t="shared" si="17"/>
        <v>KT8</v>
      </c>
      <c r="E305" s="6" t="str">
        <f t="shared" si="18"/>
        <v xml:space="preserve">FL </v>
      </c>
      <c r="F305" s="6" t="str">
        <f t="shared" si="19"/>
        <v>F84743</v>
      </c>
    </row>
    <row r="306" spans="1:6" x14ac:dyDescent="0.3">
      <c r="A306" s="6">
        <v>305</v>
      </c>
      <c r="B306" s="6" t="s">
        <v>324</v>
      </c>
      <c r="C306" s="6" t="str">
        <f t="shared" si="16"/>
        <v xml:space="preserve">KT8FL </v>
      </c>
      <c r="D306" s="6" t="str">
        <f t="shared" si="17"/>
        <v>KT8</v>
      </c>
      <c r="E306" s="6" t="str">
        <f t="shared" si="18"/>
        <v xml:space="preserve">FL </v>
      </c>
      <c r="F306" s="6" t="str">
        <f t="shared" si="19"/>
        <v>515186</v>
      </c>
    </row>
    <row r="307" spans="1:6" x14ac:dyDescent="0.3">
      <c r="A307" s="6">
        <v>306</v>
      </c>
      <c r="B307" s="6" t="s">
        <v>325</v>
      </c>
      <c r="C307" s="6" t="str">
        <f t="shared" si="16"/>
        <v xml:space="preserve">KT8FL </v>
      </c>
      <c r="D307" s="6" t="str">
        <f t="shared" si="17"/>
        <v>KT8</v>
      </c>
      <c r="E307" s="6" t="str">
        <f t="shared" si="18"/>
        <v xml:space="preserve">FL </v>
      </c>
      <c r="F307" s="6" t="str">
        <f t="shared" si="19"/>
        <v>515180</v>
      </c>
    </row>
    <row r="308" spans="1:6" x14ac:dyDescent="0.3">
      <c r="A308" s="6">
        <v>307</v>
      </c>
      <c r="B308" s="6" t="s">
        <v>326</v>
      </c>
      <c r="C308" s="6" t="str">
        <f t="shared" si="16"/>
        <v xml:space="preserve">KT8FL </v>
      </c>
      <c r="D308" s="6" t="str">
        <f t="shared" si="17"/>
        <v>KT8</v>
      </c>
      <c r="E308" s="6" t="str">
        <f t="shared" si="18"/>
        <v xml:space="preserve">FL </v>
      </c>
      <c r="F308" s="6" t="str">
        <f t="shared" si="19"/>
        <v>515164</v>
      </c>
    </row>
    <row r="309" spans="1:6" x14ac:dyDescent="0.3">
      <c r="A309" s="6">
        <v>308</v>
      </c>
      <c r="B309" s="6" t="s">
        <v>327</v>
      </c>
      <c r="C309" s="6" t="str">
        <f t="shared" si="16"/>
        <v xml:space="preserve">KT8FL </v>
      </c>
      <c r="D309" s="6" t="str">
        <f t="shared" si="17"/>
        <v>KT8</v>
      </c>
      <c r="E309" s="6" t="str">
        <f t="shared" si="18"/>
        <v xml:space="preserve">FL </v>
      </c>
      <c r="F309" s="6" t="str">
        <f t="shared" si="19"/>
        <v>515051</v>
      </c>
    </row>
    <row r="310" spans="1:6" x14ac:dyDescent="0.3">
      <c r="A310" s="6">
        <v>309</v>
      </c>
      <c r="B310" s="6" t="s">
        <v>328</v>
      </c>
      <c r="C310" s="6" t="str">
        <f t="shared" si="16"/>
        <v xml:space="preserve">KT8FL </v>
      </c>
      <c r="D310" s="6" t="str">
        <f t="shared" si="17"/>
        <v>KT8</v>
      </c>
      <c r="E310" s="6" t="str">
        <f t="shared" si="18"/>
        <v xml:space="preserve">FL </v>
      </c>
      <c r="F310" s="6" t="str">
        <f t="shared" si="19"/>
        <v>515046</v>
      </c>
    </row>
    <row r="311" spans="1:6" x14ac:dyDescent="0.3">
      <c r="A311" s="6">
        <v>310</v>
      </c>
      <c r="B311" s="6" t="s">
        <v>329</v>
      </c>
      <c r="C311" s="6" t="str">
        <f t="shared" si="16"/>
        <v xml:space="preserve">KT8FL </v>
      </c>
      <c r="D311" s="6" t="str">
        <f t="shared" si="17"/>
        <v>KT8</v>
      </c>
      <c r="E311" s="6" t="str">
        <f t="shared" si="18"/>
        <v xml:space="preserve">FL </v>
      </c>
      <c r="F311" s="6" t="str">
        <f t="shared" si="19"/>
        <v>E33358</v>
      </c>
    </row>
    <row r="312" spans="1:6" x14ac:dyDescent="0.3">
      <c r="A312" s="6">
        <v>311</v>
      </c>
      <c r="B312" s="6" t="s">
        <v>330</v>
      </c>
      <c r="C312" s="6" t="str">
        <f t="shared" si="16"/>
        <v xml:space="preserve">KT8FL </v>
      </c>
      <c r="D312" s="6" t="str">
        <f t="shared" si="17"/>
        <v>KT8</v>
      </c>
      <c r="E312" s="6" t="str">
        <f t="shared" si="18"/>
        <v xml:space="preserve">FL </v>
      </c>
      <c r="F312" s="6" t="str">
        <f t="shared" si="19"/>
        <v>515105</v>
      </c>
    </row>
    <row r="313" spans="1:6" x14ac:dyDescent="0.3">
      <c r="A313" s="6">
        <v>312</v>
      </c>
      <c r="B313" s="6" t="s">
        <v>331</v>
      </c>
      <c r="C313" s="6" t="str">
        <f t="shared" si="16"/>
        <v xml:space="preserve">KT8FL </v>
      </c>
      <c r="D313" s="6" t="str">
        <f t="shared" si="17"/>
        <v>KT8</v>
      </c>
      <c r="E313" s="6" t="str">
        <f t="shared" si="18"/>
        <v xml:space="preserve">FL </v>
      </c>
      <c r="F313" s="6" t="str">
        <f t="shared" si="19"/>
        <v>515057</v>
      </c>
    </row>
    <row r="314" spans="1:6" x14ac:dyDescent="0.3">
      <c r="A314" s="6">
        <v>313</v>
      </c>
      <c r="B314" s="6" t="s">
        <v>332</v>
      </c>
      <c r="C314" s="6" t="str">
        <f t="shared" si="16"/>
        <v xml:space="preserve">KT8FL </v>
      </c>
      <c r="D314" s="6" t="str">
        <f t="shared" si="17"/>
        <v>KT8</v>
      </c>
      <c r="E314" s="6" t="str">
        <f t="shared" si="18"/>
        <v xml:space="preserve">FL </v>
      </c>
      <c r="F314" s="6" t="str">
        <f t="shared" si="19"/>
        <v>E06544</v>
      </c>
    </row>
    <row r="315" spans="1:6" x14ac:dyDescent="0.3">
      <c r="A315" s="6">
        <v>314</v>
      </c>
      <c r="B315" s="6" t="s">
        <v>333</v>
      </c>
      <c r="C315" s="6" t="str">
        <f t="shared" si="16"/>
        <v xml:space="preserve">KT8FL </v>
      </c>
      <c r="D315" s="6" t="str">
        <f t="shared" si="17"/>
        <v>KT8</v>
      </c>
      <c r="E315" s="6" t="str">
        <f t="shared" si="18"/>
        <v xml:space="preserve">FL </v>
      </c>
      <c r="F315" s="6" t="str">
        <f t="shared" si="19"/>
        <v>F96696</v>
      </c>
    </row>
    <row r="316" spans="1:6" x14ac:dyDescent="0.3">
      <c r="A316" s="6">
        <v>315</v>
      </c>
      <c r="B316" s="6" t="s">
        <v>334</v>
      </c>
      <c r="C316" s="6" t="str">
        <f t="shared" si="16"/>
        <v xml:space="preserve">KT8FL </v>
      </c>
      <c r="D316" s="6" t="str">
        <f t="shared" si="17"/>
        <v>KT8</v>
      </c>
      <c r="E316" s="6" t="str">
        <f t="shared" si="18"/>
        <v xml:space="preserve">FL </v>
      </c>
      <c r="F316" s="6" t="str">
        <f t="shared" si="19"/>
        <v>515139</v>
      </c>
    </row>
    <row r="317" spans="1:6" x14ac:dyDescent="0.3">
      <c r="A317" s="6">
        <v>316</v>
      </c>
      <c r="B317" s="6" t="s">
        <v>335</v>
      </c>
      <c r="C317" s="6" t="str">
        <f t="shared" si="16"/>
        <v xml:space="preserve">KT8FL </v>
      </c>
      <c r="D317" s="6" t="str">
        <f t="shared" si="17"/>
        <v>KT8</v>
      </c>
      <c r="E317" s="6" t="str">
        <f t="shared" si="18"/>
        <v xml:space="preserve">FL </v>
      </c>
      <c r="F317" s="6" t="str">
        <f t="shared" si="19"/>
        <v>515175</v>
      </c>
    </row>
    <row r="318" spans="1:6" x14ac:dyDescent="0.3">
      <c r="A318" s="6">
        <v>317</v>
      </c>
      <c r="B318" s="6" t="s">
        <v>336</v>
      </c>
      <c r="C318" s="6" t="str">
        <f t="shared" si="16"/>
        <v xml:space="preserve">KT8FL </v>
      </c>
      <c r="D318" s="6" t="str">
        <f t="shared" si="17"/>
        <v>KT8</v>
      </c>
      <c r="E318" s="6" t="str">
        <f t="shared" si="18"/>
        <v xml:space="preserve">FL </v>
      </c>
      <c r="F318" s="6" t="str">
        <f t="shared" si="19"/>
        <v>515192</v>
      </c>
    </row>
    <row r="319" spans="1:6" x14ac:dyDescent="0.3">
      <c r="A319" s="6">
        <v>318</v>
      </c>
      <c r="B319" s="6" t="s">
        <v>337</v>
      </c>
      <c r="C319" s="6" t="str">
        <f t="shared" si="16"/>
        <v xml:space="preserve">KT8FL </v>
      </c>
      <c r="D319" s="6" t="str">
        <f t="shared" si="17"/>
        <v>KT8</v>
      </c>
      <c r="E319" s="6" t="str">
        <f t="shared" si="18"/>
        <v xml:space="preserve">FL </v>
      </c>
      <c r="F319" s="6" t="str">
        <f t="shared" si="19"/>
        <v>515157</v>
      </c>
    </row>
    <row r="320" spans="1:6" x14ac:dyDescent="0.3">
      <c r="A320" s="6">
        <v>319</v>
      </c>
      <c r="B320" s="6" t="s">
        <v>15</v>
      </c>
      <c r="C320" s="6" t="str">
        <f t="shared" si="16"/>
        <v xml:space="preserve">KT8FL </v>
      </c>
      <c r="D320" s="6" t="str">
        <f t="shared" si="17"/>
        <v>KT8</v>
      </c>
      <c r="E320" s="6" t="str">
        <f t="shared" si="18"/>
        <v xml:space="preserve">FL </v>
      </c>
      <c r="F320" s="6" t="str">
        <f t="shared" si="19"/>
        <v>E06406</v>
      </c>
    </row>
    <row r="321" spans="1:6" x14ac:dyDescent="0.3">
      <c r="A321" s="6">
        <v>320</v>
      </c>
      <c r="B321" s="6" t="s">
        <v>338</v>
      </c>
      <c r="C321" s="6" t="str">
        <f t="shared" si="16"/>
        <v xml:space="preserve">KT8FL </v>
      </c>
      <c r="D321" s="6" t="str">
        <f t="shared" si="17"/>
        <v>KT8</v>
      </c>
      <c r="E321" s="6" t="str">
        <f t="shared" si="18"/>
        <v xml:space="preserve">FL </v>
      </c>
      <c r="F321" s="6" t="str">
        <f t="shared" si="19"/>
        <v>515056</v>
      </c>
    </row>
    <row r="322" spans="1:6" x14ac:dyDescent="0.3">
      <c r="A322" s="6">
        <v>321</v>
      </c>
      <c r="B322" s="6" t="s">
        <v>339</v>
      </c>
      <c r="C322" s="6" t="str">
        <f t="shared" si="16"/>
        <v xml:space="preserve">KT8FL </v>
      </c>
      <c r="D322" s="6" t="str">
        <f t="shared" si="17"/>
        <v>KT8</v>
      </c>
      <c r="E322" s="6" t="str">
        <f t="shared" si="18"/>
        <v xml:space="preserve">FL </v>
      </c>
      <c r="F322" s="6" t="str">
        <f t="shared" si="19"/>
        <v>515177</v>
      </c>
    </row>
    <row r="323" spans="1:6" x14ac:dyDescent="0.3">
      <c r="A323" s="6">
        <v>322</v>
      </c>
      <c r="B323" s="6" t="s">
        <v>340</v>
      </c>
      <c r="C323" s="6" t="str">
        <f t="shared" ref="C323:C386" si="20">LEFT(B323,6)</f>
        <v xml:space="preserve">KT8FL </v>
      </c>
      <c r="D323" s="6" t="str">
        <f t="shared" ref="D323:D380" si="21">LEFT(C323,3)</f>
        <v>KT8</v>
      </c>
      <c r="E323" s="6" t="str">
        <f t="shared" ref="E323:E380" si="22">RIGHT(C323,3)</f>
        <v xml:space="preserve">FL </v>
      </c>
      <c r="F323" s="6" t="str">
        <f t="shared" ref="F323:F386" si="23">RIGHT(B323,6)</f>
        <v>515066</v>
      </c>
    </row>
    <row r="324" spans="1:6" x14ac:dyDescent="0.3">
      <c r="A324" s="6">
        <v>323</v>
      </c>
      <c r="B324" s="6" t="s">
        <v>341</v>
      </c>
      <c r="C324" s="6" t="str">
        <f t="shared" si="20"/>
        <v xml:space="preserve">KT8FL </v>
      </c>
      <c r="D324" s="6" t="str">
        <f t="shared" si="21"/>
        <v>KT8</v>
      </c>
      <c r="E324" s="6" t="str">
        <f t="shared" si="22"/>
        <v xml:space="preserve">FL </v>
      </c>
      <c r="F324" s="6" t="str">
        <f t="shared" si="23"/>
        <v>515168</v>
      </c>
    </row>
    <row r="325" spans="1:6" x14ac:dyDescent="0.3">
      <c r="A325" s="6">
        <v>324</v>
      </c>
      <c r="B325" s="6" t="s">
        <v>342</v>
      </c>
      <c r="C325" s="6" t="str">
        <f t="shared" si="20"/>
        <v xml:space="preserve">KT8FL </v>
      </c>
      <c r="D325" s="6" t="str">
        <f t="shared" si="21"/>
        <v>KT8</v>
      </c>
      <c r="E325" s="6" t="str">
        <f t="shared" si="22"/>
        <v xml:space="preserve">FL </v>
      </c>
      <c r="F325" s="6" t="str">
        <f t="shared" si="23"/>
        <v>515195</v>
      </c>
    </row>
    <row r="326" spans="1:6" x14ac:dyDescent="0.3">
      <c r="A326" s="6">
        <v>325</v>
      </c>
      <c r="B326" s="6" t="s">
        <v>343</v>
      </c>
      <c r="C326" s="6" t="str">
        <f t="shared" si="20"/>
        <v xml:space="preserve">KT8FL </v>
      </c>
      <c r="D326" s="6" t="str">
        <f t="shared" si="21"/>
        <v>KT8</v>
      </c>
      <c r="E326" s="6" t="str">
        <f t="shared" si="22"/>
        <v xml:space="preserve">FL </v>
      </c>
      <c r="F326" s="6" t="str">
        <f t="shared" si="23"/>
        <v>G00199</v>
      </c>
    </row>
    <row r="327" spans="1:6" x14ac:dyDescent="0.3">
      <c r="A327" s="6">
        <v>326</v>
      </c>
      <c r="B327" s="6" t="s">
        <v>344</v>
      </c>
      <c r="C327" s="6" t="str">
        <f t="shared" si="20"/>
        <v xml:space="preserve">KT8FL </v>
      </c>
      <c r="D327" s="6" t="str">
        <f t="shared" si="21"/>
        <v>KT8</v>
      </c>
      <c r="E327" s="6" t="str">
        <f t="shared" si="22"/>
        <v xml:space="preserve">FL </v>
      </c>
      <c r="F327" s="6" t="str">
        <f t="shared" si="23"/>
        <v>E48041</v>
      </c>
    </row>
    <row r="328" spans="1:6" x14ac:dyDescent="0.3">
      <c r="A328" s="6">
        <v>327</v>
      </c>
      <c r="B328" s="6" t="s">
        <v>345</v>
      </c>
      <c r="C328" s="6" t="str">
        <f t="shared" si="20"/>
        <v xml:space="preserve">KT8FL </v>
      </c>
      <c r="D328" s="6" t="str">
        <f t="shared" si="21"/>
        <v>KT8</v>
      </c>
      <c r="E328" s="6" t="str">
        <f t="shared" si="22"/>
        <v xml:space="preserve">FL </v>
      </c>
      <c r="F328" s="6" t="str">
        <f t="shared" si="23"/>
        <v>515037</v>
      </c>
    </row>
    <row r="329" spans="1:6" x14ac:dyDescent="0.3">
      <c r="A329" s="6">
        <v>328</v>
      </c>
      <c r="B329" s="6" t="s">
        <v>346</v>
      </c>
      <c r="C329" s="6" t="str">
        <f t="shared" si="20"/>
        <v xml:space="preserve">KT8FL </v>
      </c>
      <c r="D329" s="6" t="str">
        <f t="shared" si="21"/>
        <v>KT8</v>
      </c>
      <c r="E329" s="6" t="str">
        <f t="shared" si="22"/>
        <v xml:space="preserve">FL </v>
      </c>
      <c r="F329" s="6" t="str">
        <f t="shared" si="23"/>
        <v>G00068</v>
      </c>
    </row>
    <row r="330" spans="1:6" x14ac:dyDescent="0.3">
      <c r="A330" s="6">
        <v>329</v>
      </c>
      <c r="B330" s="6" t="s">
        <v>347</v>
      </c>
      <c r="C330" s="6" t="str">
        <f t="shared" si="20"/>
        <v xml:space="preserve">KT8FL </v>
      </c>
      <c r="D330" s="6" t="str">
        <f t="shared" si="21"/>
        <v>KT8</v>
      </c>
      <c r="E330" s="6" t="str">
        <f t="shared" si="22"/>
        <v xml:space="preserve">FL </v>
      </c>
      <c r="F330" s="6" t="str">
        <f t="shared" si="23"/>
        <v>G00073</v>
      </c>
    </row>
    <row r="331" spans="1:6" x14ac:dyDescent="0.3">
      <c r="A331" s="6">
        <v>330</v>
      </c>
      <c r="B331" s="6" t="s">
        <v>348</v>
      </c>
      <c r="C331" s="6" t="str">
        <f t="shared" si="20"/>
        <v xml:space="preserve">KT8FL </v>
      </c>
      <c r="D331" s="6" t="str">
        <f t="shared" si="21"/>
        <v>KT8</v>
      </c>
      <c r="E331" s="6" t="str">
        <f t="shared" si="22"/>
        <v xml:space="preserve">FL </v>
      </c>
      <c r="F331" s="6" t="str">
        <f t="shared" si="23"/>
        <v>515099</v>
      </c>
    </row>
    <row r="332" spans="1:6" x14ac:dyDescent="0.3">
      <c r="A332" s="6">
        <v>331</v>
      </c>
      <c r="B332" s="6" t="s">
        <v>349</v>
      </c>
      <c r="C332" s="6" t="str">
        <f t="shared" si="20"/>
        <v xml:space="preserve">KT8FL </v>
      </c>
      <c r="D332" s="6" t="str">
        <f t="shared" si="21"/>
        <v>KT8</v>
      </c>
      <c r="E332" s="6" t="str">
        <f t="shared" si="22"/>
        <v xml:space="preserve">FL </v>
      </c>
      <c r="F332" s="6" t="str">
        <f t="shared" si="23"/>
        <v>515054</v>
      </c>
    </row>
    <row r="333" spans="1:6" x14ac:dyDescent="0.3">
      <c r="A333" s="6">
        <v>332</v>
      </c>
      <c r="B333" s="6" t="s">
        <v>350</v>
      </c>
      <c r="C333" s="6" t="str">
        <f t="shared" si="20"/>
        <v xml:space="preserve">KT8FL </v>
      </c>
      <c r="D333" s="6" t="str">
        <f t="shared" si="21"/>
        <v>KT8</v>
      </c>
      <c r="E333" s="6" t="str">
        <f t="shared" si="22"/>
        <v xml:space="preserve">FL </v>
      </c>
      <c r="F333" s="6" t="str">
        <f t="shared" si="23"/>
        <v>515091</v>
      </c>
    </row>
    <row r="334" spans="1:6" x14ac:dyDescent="0.3">
      <c r="A334" s="6">
        <v>333</v>
      </c>
      <c r="B334" s="6" t="s">
        <v>351</v>
      </c>
      <c r="C334" s="6" t="str">
        <f t="shared" si="20"/>
        <v xml:space="preserve">KT8FL </v>
      </c>
      <c r="D334" s="6" t="str">
        <f t="shared" si="21"/>
        <v>KT8</v>
      </c>
      <c r="E334" s="6" t="str">
        <f t="shared" si="22"/>
        <v xml:space="preserve">FL </v>
      </c>
      <c r="F334" s="6" t="str">
        <f t="shared" si="23"/>
        <v>E06581</v>
      </c>
    </row>
    <row r="335" spans="1:6" x14ac:dyDescent="0.3">
      <c r="A335" s="6">
        <v>334</v>
      </c>
      <c r="B335" s="6" t="s">
        <v>352</v>
      </c>
      <c r="C335" s="6" t="str">
        <f t="shared" si="20"/>
        <v xml:space="preserve">KT8FL </v>
      </c>
      <c r="D335" s="6" t="str">
        <f t="shared" si="21"/>
        <v>KT8</v>
      </c>
      <c r="E335" s="6" t="str">
        <f t="shared" si="22"/>
        <v xml:space="preserve">FL </v>
      </c>
      <c r="F335" s="6" t="str">
        <f t="shared" si="23"/>
        <v>E48012</v>
      </c>
    </row>
    <row r="336" spans="1:6" x14ac:dyDescent="0.3">
      <c r="A336" s="6">
        <v>335</v>
      </c>
      <c r="B336" s="6" t="s">
        <v>353</v>
      </c>
      <c r="C336" s="6" t="str">
        <f t="shared" si="20"/>
        <v xml:space="preserve">KT8FL </v>
      </c>
      <c r="D336" s="6" t="str">
        <f t="shared" si="21"/>
        <v>KT8</v>
      </c>
      <c r="E336" s="6" t="str">
        <f t="shared" si="22"/>
        <v xml:space="preserve">FL </v>
      </c>
      <c r="F336" s="6" t="str">
        <f t="shared" si="23"/>
        <v>515161</v>
      </c>
    </row>
    <row r="337" spans="1:6" x14ac:dyDescent="0.3">
      <c r="A337" s="6">
        <v>336</v>
      </c>
      <c r="B337" s="6" t="s">
        <v>354</v>
      </c>
      <c r="C337" s="6" t="str">
        <f t="shared" si="20"/>
        <v xml:space="preserve">KT8FL </v>
      </c>
      <c r="D337" s="6" t="str">
        <f t="shared" si="21"/>
        <v>KT8</v>
      </c>
      <c r="E337" s="6" t="str">
        <f t="shared" si="22"/>
        <v xml:space="preserve">FL </v>
      </c>
      <c r="F337" s="6" t="str">
        <f t="shared" si="23"/>
        <v>E48166</v>
      </c>
    </row>
    <row r="338" spans="1:6" x14ac:dyDescent="0.3">
      <c r="A338" s="6">
        <v>337</v>
      </c>
      <c r="B338" s="6" t="s">
        <v>355</v>
      </c>
      <c r="C338" s="6" t="str">
        <f t="shared" si="20"/>
        <v xml:space="preserve">KT8FL </v>
      </c>
      <c r="D338" s="6" t="str">
        <f t="shared" si="21"/>
        <v>KT8</v>
      </c>
      <c r="E338" s="6" t="str">
        <f t="shared" si="22"/>
        <v xml:space="preserve">FL </v>
      </c>
      <c r="F338" s="6" t="str">
        <f t="shared" si="23"/>
        <v>515152</v>
      </c>
    </row>
    <row r="339" spans="1:6" x14ac:dyDescent="0.3">
      <c r="A339" s="6">
        <v>338</v>
      </c>
      <c r="B339" s="6" t="s">
        <v>356</v>
      </c>
      <c r="C339" s="6" t="str">
        <f t="shared" si="20"/>
        <v xml:space="preserve">KT8FL </v>
      </c>
      <c r="D339" s="6" t="str">
        <f t="shared" si="21"/>
        <v>KT8</v>
      </c>
      <c r="E339" s="6" t="str">
        <f t="shared" si="22"/>
        <v xml:space="preserve">FL </v>
      </c>
      <c r="F339" s="6" t="str">
        <f t="shared" si="23"/>
        <v>515032</v>
      </c>
    </row>
    <row r="340" spans="1:6" x14ac:dyDescent="0.3">
      <c r="A340" s="6">
        <v>339</v>
      </c>
      <c r="B340" s="6" t="s">
        <v>357</v>
      </c>
      <c r="C340" s="6" t="str">
        <f t="shared" si="20"/>
        <v xml:space="preserve">KT8FL </v>
      </c>
      <c r="D340" s="6" t="str">
        <f t="shared" si="21"/>
        <v>KT8</v>
      </c>
      <c r="E340" s="6" t="str">
        <f t="shared" si="22"/>
        <v xml:space="preserve">FL </v>
      </c>
      <c r="F340" s="6" t="str">
        <f t="shared" si="23"/>
        <v>515193</v>
      </c>
    </row>
    <row r="341" spans="1:6" x14ac:dyDescent="0.3">
      <c r="A341" s="6">
        <v>340</v>
      </c>
      <c r="B341" s="6" t="s">
        <v>358</v>
      </c>
      <c r="C341" s="6" t="str">
        <f t="shared" si="20"/>
        <v xml:space="preserve">KT8FL </v>
      </c>
      <c r="D341" s="6" t="str">
        <f t="shared" si="21"/>
        <v>KT8</v>
      </c>
      <c r="E341" s="6" t="str">
        <f t="shared" si="22"/>
        <v xml:space="preserve">FL </v>
      </c>
      <c r="F341" s="6" t="str">
        <f t="shared" si="23"/>
        <v>E06505</v>
      </c>
    </row>
    <row r="342" spans="1:6" x14ac:dyDescent="0.3">
      <c r="A342" s="6">
        <v>341</v>
      </c>
      <c r="B342" s="6" t="s">
        <v>359</v>
      </c>
      <c r="C342" s="6" t="str">
        <f t="shared" si="20"/>
        <v xml:space="preserve">KT8FL </v>
      </c>
      <c r="D342" s="6" t="str">
        <f t="shared" si="21"/>
        <v>KT8</v>
      </c>
      <c r="E342" s="6" t="str">
        <f t="shared" si="22"/>
        <v xml:space="preserve">FL </v>
      </c>
      <c r="F342" s="6" t="str">
        <f t="shared" si="23"/>
        <v>F96916</v>
      </c>
    </row>
    <row r="343" spans="1:6" x14ac:dyDescent="0.3">
      <c r="A343" s="6">
        <v>342</v>
      </c>
      <c r="B343" s="6" t="s">
        <v>360</v>
      </c>
      <c r="C343" s="6" t="str">
        <f t="shared" si="20"/>
        <v xml:space="preserve">KT8FL </v>
      </c>
      <c r="D343" s="6" t="str">
        <f t="shared" si="21"/>
        <v>KT8</v>
      </c>
      <c r="E343" s="6" t="str">
        <f t="shared" si="22"/>
        <v xml:space="preserve">FL </v>
      </c>
      <c r="F343" s="6" t="str">
        <f t="shared" si="23"/>
        <v>E48170</v>
      </c>
    </row>
    <row r="344" spans="1:6" x14ac:dyDescent="0.3">
      <c r="A344" s="6">
        <v>343</v>
      </c>
      <c r="B344" s="6" t="s">
        <v>361</v>
      </c>
      <c r="C344" s="6" t="str">
        <f t="shared" si="20"/>
        <v xml:space="preserve">KT8FL </v>
      </c>
      <c r="D344" s="6" t="str">
        <f t="shared" si="21"/>
        <v>KT8</v>
      </c>
      <c r="E344" s="6" t="str">
        <f t="shared" si="22"/>
        <v xml:space="preserve">FL </v>
      </c>
      <c r="F344" s="6" t="str">
        <f t="shared" si="23"/>
        <v>E06585</v>
      </c>
    </row>
    <row r="345" spans="1:6" x14ac:dyDescent="0.3">
      <c r="A345" s="6">
        <v>344</v>
      </c>
      <c r="B345" s="6" t="s">
        <v>362</v>
      </c>
      <c r="C345" s="6" t="str">
        <f t="shared" si="20"/>
        <v xml:space="preserve">KT8FL </v>
      </c>
      <c r="D345" s="6" t="str">
        <f t="shared" si="21"/>
        <v>KT8</v>
      </c>
      <c r="E345" s="6" t="str">
        <f t="shared" si="22"/>
        <v xml:space="preserve">FL </v>
      </c>
      <c r="F345" s="6" t="str">
        <f t="shared" si="23"/>
        <v>F96698</v>
      </c>
    </row>
    <row r="346" spans="1:6" x14ac:dyDescent="0.3">
      <c r="A346" s="6">
        <v>345</v>
      </c>
      <c r="B346" s="6" t="s">
        <v>363</v>
      </c>
      <c r="C346" s="6" t="str">
        <f t="shared" si="20"/>
        <v xml:space="preserve">KT8FL </v>
      </c>
      <c r="D346" s="6" t="str">
        <f t="shared" si="21"/>
        <v>KT8</v>
      </c>
      <c r="E346" s="6" t="str">
        <f t="shared" si="22"/>
        <v xml:space="preserve">FL </v>
      </c>
      <c r="F346" s="6" t="str">
        <f t="shared" si="23"/>
        <v>E33365</v>
      </c>
    </row>
    <row r="347" spans="1:6" x14ac:dyDescent="0.3">
      <c r="A347" s="6">
        <v>346</v>
      </c>
      <c r="B347" s="6" t="s">
        <v>364</v>
      </c>
      <c r="C347" s="6" t="str">
        <f t="shared" si="20"/>
        <v xml:space="preserve">KT8FL </v>
      </c>
      <c r="D347" s="6" t="str">
        <f t="shared" si="21"/>
        <v>KT8</v>
      </c>
      <c r="E347" s="6" t="str">
        <f t="shared" si="22"/>
        <v xml:space="preserve">FL </v>
      </c>
      <c r="F347" s="6" t="str">
        <f t="shared" si="23"/>
        <v>F96977</v>
      </c>
    </row>
    <row r="348" spans="1:6" x14ac:dyDescent="0.3">
      <c r="A348" s="6">
        <v>347</v>
      </c>
      <c r="B348" s="6" t="s">
        <v>365</v>
      </c>
      <c r="C348" s="6" t="str">
        <f t="shared" si="20"/>
        <v xml:space="preserve">KT8FL </v>
      </c>
      <c r="D348" s="6" t="str">
        <f t="shared" si="21"/>
        <v>KT8</v>
      </c>
      <c r="E348" s="6" t="str">
        <f t="shared" si="22"/>
        <v xml:space="preserve">FL </v>
      </c>
      <c r="F348" s="6" t="str">
        <f t="shared" si="23"/>
        <v>F84728</v>
      </c>
    </row>
    <row r="349" spans="1:6" x14ac:dyDescent="0.3">
      <c r="A349" s="6">
        <v>348</v>
      </c>
      <c r="B349" s="6" t="s">
        <v>366</v>
      </c>
      <c r="C349" s="6" t="str">
        <f t="shared" si="20"/>
        <v xml:space="preserve">KT8FL </v>
      </c>
      <c r="D349" s="6" t="str">
        <f t="shared" si="21"/>
        <v>KT8</v>
      </c>
      <c r="E349" s="6" t="str">
        <f t="shared" si="22"/>
        <v xml:space="preserve">FL </v>
      </c>
      <c r="F349" s="6" t="str">
        <f t="shared" si="23"/>
        <v>515071</v>
      </c>
    </row>
    <row r="350" spans="1:6" x14ac:dyDescent="0.3">
      <c r="A350" s="6">
        <v>349</v>
      </c>
      <c r="B350" s="6" t="s">
        <v>367</v>
      </c>
      <c r="C350" s="6" t="str">
        <f t="shared" si="20"/>
        <v xml:space="preserve">KT8FL </v>
      </c>
      <c r="D350" s="6" t="str">
        <f t="shared" si="21"/>
        <v>KT8</v>
      </c>
      <c r="E350" s="6" t="str">
        <f t="shared" si="22"/>
        <v xml:space="preserve">FL </v>
      </c>
      <c r="F350" s="6" t="str">
        <f t="shared" si="23"/>
        <v>E48020</v>
      </c>
    </row>
    <row r="351" spans="1:6" x14ac:dyDescent="0.3">
      <c r="A351" s="6">
        <v>350</v>
      </c>
      <c r="B351" s="6" t="s">
        <v>368</v>
      </c>
      <c r="C351" s="6" t="str">
        <f t="shared" si="20"/>
        <v xml:space="preserve">KT8FL </v>
      </c>
      <c r="D351" s="6" t="str">
        <f t="shared" si="21"/>
        <v>KT8</v>
      </c>
      <c r="E351" s="6" t="str">
        <f t="shared" si="22"/>
        <v xml:space="preserve">FL </v>
      </c>
      <c r="F351" s="6" t="str">
        <f t="shared" si="23"/>
        <v>515098</v>
      </c>
    </row>
    <row r="352" spans="1:6" x14ac:dyDescent="0.3">
      <c r="A352" s="6">
        <v>351</v>
      </c>
      <c r="B352" s="6" t="s">
        <v>369</v>
      </c>
      <c r="C352" s="6" t="str">
        <f t="shared" si="20"/>
        <v xml:space="preserve">KT8FL </v>
      </c>
      <c r="D352" s="6" t="str">
        <f t="shared" si="21"/>
        <v>KT8</v>
      </c>
      <c r="E352" s="6" t="str">
        <f t="shared" si="22"/>
        <v xml:space="preserve">FL </v>
      </c>
      <c r="F352" s="6" t="str">
        <f t="shared" si="23"/>
        <v>F96920</v>
      </c>
    </row>
    <row r="353" spans="1:6" x14ac:dyDescent="0.3">
      <c r="A353" s="6">
        <v>352</v>
      </c>
      <c r="B353" s="6" t="s">
        <v>370</v>
      </c>
      <c r="C353" s="6" t="str">
        <f t="shared" si="20"/>
        <v xml:space="preserve">KT8FL </v>
      </c>
      <c r="D353" s="6" t="str">
        <f t="shared" si="21"/>
        <v>KT8</v>
      </c>
      <c r="E353" s="6" t="str">
        <f t="shared" si="22"/>
        <v xml:space="preserve">FL </v>
      </c>
      <c r="F353" s="6" t="str">
        <f t="shared" si="23"/>
        <v>E48151</v>
      </c>
    </row>
    <row r="354" spans="1:6" x14ac:dyDescent="0.3">
      <c r="A354" s="6">
        <v>353</v>
      </c>
      <c r="B354" s="6" t="s">
        <v>371</v>
      </c>
      <c r="C354" s="6" t="str">
        <f t="shared" si="20"/>
        <v xml:space="preserve">KT8FL </v>
      </c>
      <c r="D354" s="6" t="str">
        <f t="shared" si="21"/>
        <v>KT8</v>
      </c>
      <c r="E354" s="6" t="str">
        <f t="shared" si="22"/>
        <v xml:space="preserve">FL </v>
      </c>
      <c r="F354" s="6" t="str">
        <f t="shared" si="23"/>
        <v>515137</v>
      </c>
    </row>
    <row r="355" spans="1:6" x14ac:dyDescent="0.3">
      <c r="A355" s="6">
        <v>354</v>
      </c>
      <c r="B355" s="6" t="s">
        <v>372</v>
      </c>
      <c r="C355" s="6" t="str">
        <f t="shared" si="20"/>
        <v xml:space="preserve">KT8FL </v>
      </c>
      <c r="D355" s="6" t="str">
        <f t="shared" si="21"/>
        <v>KT8</v>
      </c>
      <c r="E355" s="6" t="str">
        <f t="shared" si="22"/>
        <v xml:space="preserve">FL </v>
      </c>
      <c r="F355" s="6" t="str">
        <f t="shared" si="23"/>
        <v>G00071</v>
      </c>
    </row>
    <row r="356" spans="1:6" x14ac:dyDescent="0.3">
      <c r="A356" s="6">
        <v>355</v>
      </c>
      <c r="B356" s="6" t="s">
        <v>373</v>
      </c>
      <c r="C356" s="6" t="str">
        <f t="shared" si="20"/>
        <v xml:space="preserve">KT8FL </v>
      </c>
      <c r="D356" s="6" t="str">
        <f t="shared" si="21"/>
        <v>KT8</v>
      </c>
      <c r="E356" s="6" t="str">
        <f t="shared" si="22"/>
        <v xml:space="preserve">FL </v>
      </c>
      <c r="F356" s="6" t="str">
        <f t="shared" si="23"/>
        <v>E33287</v>
      </c>
    </row>
    <row r="357" spans="1:6" x14ac:dyDescent="0.3">
      <c r="A357" s="6">
        <v>356</v>
      </c>
      <c r="B357" s="6" t="s">
        <v>374</v>
      </c>
      <c r="C357" s="6" t="str">
        <f t="shared" si="20"/>
        <v xml:space="preserve">KT8FL </v>
      </c>
      <c r="D357" s="6" t="str">
        <f t="shared" si="21"/>
        <v>KT8</v>
      </c>
      <c r="E357" s="6" t="str">
        <f t="shared" si="22"/>
        <v xml:space="preserve">FL </v>
      </c>
      <c r="F357" s="6" t="str">
        <f t="shared" si="23"/>
        <v>E48180</v>
      </c>
    </row>
    <row r="358" spans="1:6" x14ac:dyDescent="0.3">
      <c r="A358" s="6">
        <v>357</v>
      </c>
      <c r="B358" s="6" t="s">
        <v>375</v>
      </c>
      <c r="C358" s="6" t="str">
        <f t="shared" si="20"/>
        <v xml:space="preserve">KT8FL </v>
      </c>
      <c r="D358" s="6" t="str">
        <f t="shared" si="21"/>
        <v>KT8</v>
      </c>
      <c r="E358" s="6" t="str">
        <f t="shared" si="22"/>
        <v xml:space="preserve">FL </v>
      </c>
      <c r="F358" s="6" t="str">
        <f t="shared" si="23"/>
        <v>F96974</v>
      </c>
    </row>
    <row r="359" spans="1:6" x14ac:dyDescent="0.3">
      <c r="A359" s="6">
        <v>358</v>
      </c>
      <c r="B359" s="6" t="s">
        <v>376</v>
      </c>
      <c r="C359" s="6" t="str">
        <f t="shared" si="20"/>
        <v xml:space="preserve">KT8FL </v>
      </c>
      <c r="D359" s="6" t="str">
        <f t="shared" si="21"/>
        <v>KT8</v>
      </c>
      <c r="E359" s="6" t="str">
        <f t="shared" si="22"/>
        <v xml:space="preserve">FL </v>
      </c>
      <c r="F359" s="6" t="str">
        <f t="shared" si="23"/>
        <v>E25974</v>
      </c>
    </row>
    <row r="360" spans="1:6" x14ac:dyDescent="0.3">
      <c r="A360" s="6">
        <v>359</v>
      </c>
      <c r="B360" s="6" t="s">
        <v>377</v>
      </c>
      <c r="C360" s="6" t="str">
        <f t="shared" si="20"/>
        <v xml:space="preserve">KT8FL </v>
      </c>
      <c r="D360" s="6" t="str">
        <f t="shared" si="21"/>
        <v>KT8</v>
      </c>
      <c r="E360" s="6" t="str">
        <f t="shared" si="22"/>
        <v xml:space="preserve">FL </v>
      </c>
      <c r="F360" s="6" t="str">
        <f t="shared" si="23"/>
        <v>E48045</v>
      </c>
    </row>
    <row r="361" spans="1:6" x14ac:dyDescent="0.3">
      <c r="A361" s="6">
        <v>360</v>
      </c>
      <c r="B361" s="6" t="s">
        <v>378</v>
      </c>
      <c r="C361" s="6" t="str">
        <f t="shared" si="20"/>
        <v xml:space="preserve">KT8FL </v>
      </c>
      <c r="D361" s="6" t="str">
        <f t="shared" si="21"/>
        <v>KT8</v>
      </c>
      <c r="E361" s="6" t="str">
        <f t="shared" si="22"/>
        <v xml:space="preserve">FL </v>
      </c>
      <c r="F361" s="6" t="str">
        <f t="shared" si="23"/>
        <v>E48183</v>
      </c>
    </row>
    <row r="362" spans="1:6" x14ac:dyDescent="0.3">
      <c r="A362" s="6">
        <v>361</v>
      </c>
      <c r="B362" s="6" t="s">
        <v>379</v>
      </c>
      <c r="C362" s="6" t="str">
        <f t="shared" si="20"/>
        <v xml:space="preserve">KT8FL </v>
      </c>
      <c r="D362" s="6" t="str">
        <f t="shared" si="21"/>
        <v>KT8</v>
      </c>
      <c r="E362" s="6" t="str">
        <f t="shared" si="22"/>
        <v xml:space="preserve">FL </v>
      </c>
      <c r="F362" s="6" t="str">
        <f t="shared" si="23"/>
        <v>E48152</v>
      </c>
    </row>
    <row r="363" spans="1:6" x14ac:dyDescent="0.3">
      <c r="A363" s="6">
        <v>362</v>
      </c>
      <c r="B363" s="6" t="s">
        <v>380</v>
      </c>
      <c r="C363" s="6" t="str">
        <f t="shared" si="20"/>
        <v xml:space="preserve">KT8FL </v>
      </c>
      <c r="D363" s="6" t="str">
        <f t="shared" si="21"/>
        <v>KT8</v>
      </c>
      <c r="E363" s="6" t="str">
        <f t="shared" si="22"/>
        <v xml:space="preserve">FL </v>
      </c>
      <c r="F363" s="6" t="str">
        <f t="shared" si="23"/>
        <v>G00070</v>
      </c>
    </row>
    <row r="364" spans="1:6" x14ac:dyDescent="0.3">
      <c r="A364" s="6">
        <v>363</v>
      </c>
      <c r="B364" s="6" t="s">
        <v>381</v>
      </c>
      <c r="C364" s="6" t="str">
        <f t="shared" si="20"/>
        <v xml:space="preserve">KT8FL </v>
      </c>
      <c r="D364" s="6" t="str">
        <f t="shared" si="21"/>
        <v>KT8</v>
      </c>
      <c r="E364" s="6" t="str">
        <f t="shared" si="22"/>
        <v xml:space="preserve">FL </v>
      </c>
      <c r="F364" s="6" t="str">
        <f t="shared" si="23"/>
        <v>E48158</v>
      </c>
    </row>
    <row r="365" spans="1:6" x14ac:dyDescent="0.3">
      <c r="A365" s="6">
        <v>364</v>
      </c>
      <c r="B365" s="6" t="s">
        <v>382</v>
      </c>
      <c r="C365" s="6" t="str">
        <f t="shared" si="20"/>
        <v xml:space="preserve">KT8FL </v>
      </c>
      <c r="D365" s="6" t="str">
        <f t="shared" si="21"/>
        <v>KT8</v>
      </c>
      <c r="E365" s="6" t="str">
        <f t="shared" si="22"/>
        <v xml:space="preserve">FL </v>
      </c>
      <c r="F365" s="6" t="str">
        <f t="shared" si="23"/>
        <v>E48154</v>
      </c>
    </row>
    <row r="366" spans="1:6" x14ac:dyDescent="0.3">
      <c r="A366" s="6">
        <v>365</v>
      </c>
      <c r="B366" s="6" t="s">
        <v>383</v>
      </c>
      <c r="C366" s="6" t="str">
        <f t="shared" si="20"/>
        <v xml:space="preserve">KT8FL </v>
      </c>
      <c r="D366" s="6" t="str">
        <f t="shared" si="21"/>
        <v>KT8</v>
      </c>
      <c r="E366" s="6" t="str">
        <f t="shared" si="22"/>
        <v xml:space="preserve">FL </v>
      </c>
      <c r="F366" s="6" t="str">
        <f t="shared" si="23"/>
        <v>E48040</v>
      </c>
    </row>
    <row r="367" spans="1:6" x14ac:dyDescent="0.3">
      <c r="A367" s="6">
        <v>366</v>
      </c>
      <c r="B367" s="6" t="s">
        <v>384</v>
      </c>
      <c r="C367" s="6" t="str">
        <f t="shared" si="20"/>
        <v xml:space="preserve">KT8FL </v>
      </c>
      <c r="D367" s="6" t="str">
        <f t="shared" si="21"/>
        <v>KT8</v>
      </c>
      <c r="E367" s="6" t="str">
        <f t="shared" si="22"/>
        <v xml:space="preserve">FL </v>
      </c>
      <c r="F367" s="6" t="str">
        <f t="shared" si="23"/>
        <v>E06556</v>
      </c>
    </row>
    <row r="368" spans="1:6" x14ac:dyDescent="0.3">
      <c r="A368" s="6">
        <v>367</v>
      </c>
      <c r="B368" s="6" t="s">
        <v>385</v>
      </c>
      <c r="C368" s="6" t="str">
        <f t="shared" si="20"/>
        <v xml:space="preserve">KT8FL </v>
      </c>
      <c r="D368" s="6" t="str">
        <f t="shared" si="21"/>
        <v>KT8</v>
      </c>
      <c r="E368" s="6" t="str">
        <f t="shared" si="22"/>
        <v xml:space="preserve">FL </v>
      </c>
      <c r="F368" s="6" t="str">
        <f t="shared" si="23"/>
        <v>F96973</v>
      </c>
    </row>
    <row r="369" spans="1:6" x14ac:dyDescent="0.3">
      <c r="A369" s="6">
        <v>368</v>
      </c>
      <c r="B369" s="6" t="s">
        <v>386</v>
      </c>
      <c r="C369" s="6" t="str">
        <f t="shared" si="20"/>
        <v xml:space="preserve">KT8FL </v>
      </c>
      <c r="D369" s="6" t="str">
        <f t="shared" si="21"/>
        <v>KT8</v>
      </c>
      <c r="E369" s="6" t="str">
        <f t="shared" si="22"/>
        <v xml:space="preserve">FL </v>
      </c>
      <c r="F369" s="6" t="str">
        <f t="shared" si="23"/>
        <v>E48011</v>
      </c>
    </row>
    <row r="370" spans="1:6" x14ac:dyDescent="0.3">
      <c r="A370" s="6">
        <v>369</v>
      </c>
      <c r="B370" s="6" t="s">
        <v>387</v>
      </c>
      <c r="C370" s="6" t="str">
        <f t="shared" si="20"/>
        <v xml:space="preserve">KT8FL </v>
      </c>
      <c r="D370" s="6" t="str">
        <f t="shared" si="21"/>
        <v>KT8</v>
      </c>
      <c r="E370" s="6" t="str">
        <f t="shared" si="22"/>
        <v xml:space="preserve">FL </v>
      </c>
      <c r="F370" s="6" t="str">
        <f t="shared" si="23"/>
        <v>E48148</v>
      </c>
    </row>
    <row r="371" spans="1:6" x14ac:dyDescent="0.3">
      <c r="A371" s="6">
        <v>370</v>
      </c>
      <c r="B371" s="6" t="s">
        <v>388</v>
      </c>
      <c r="C371" s="6" t="str">
        <f t="shared" si="20"/>
        <v xml:space="preserve">KT8FL </v>
      </c>
      <c r="D371" s="6" t="str">
        <f t="shared" si="21"/>
        <v>KT8</v>
      </c>
      <c r="E371" s="6" t="str">
        <f t="shared" si="22"/>
        <v xml:space="preserve">FL </v>
      </c>
      <c r="F371" s="6" t="str">
        <f t="shared" si="23"/>
        <v>E33233</v>
      </c>
    </row>
    <row r="372" spans="1:6" x14ac:dyDescent="0.3">
      <c r="A372" s="6">
        <v>371</v>
      </c>
      <c r="B372" s="6" t="s">
        <v>389</v>
      </c>
      <c r="C372" s="6" t="str">
        <f t="shared" si="20"/>
        <v xml:space="preserve">KT8FL </v>
      </c>
      <c r="D372" s="6" t="str">
        <f t="shared" si="21"/>
        <v>KT8</v>
      </c>
      <c r="E372" s="6" t="str">
        <f t="shared" si="22"/>
        <v xml:space="preserve">FL </v>
      </c>
      <c r="F372" s="6" t="str">
        <f t="shared" si="23"/>
        <v>E48153</v>
      </c>
    </row>
    <row r="373" spans="1:6" x14ac:dyDescent="0.3">
      <c r="A373" s="6">
        <v>372</v>
      </c>
      <c r="B373" s="6" t="s">
        <v>390</v>
      </c>
      <c r="C373" s="6" t="str">
        <f t="shared" si="20"/>
        <v xml:space="preserve">KT8FL </v>
      </c>
      <c r="D373" s="6" t="str">
        <f t="shared" si="21"/>
        <v>KT8</v>
      </c>
      <c r="E373" s="6" t="str">
        <f t="shared" si="22"/>
        <v xml:space="preserve">FL </v>
      </c>
      <c r="F373" s="6" t="str">
        <f t="shared" si="23"/>
        <v>515101</v>
      </c>
    </row>
    <row r="374" spans="1:6" x14ac:dyDescent="0.3">
      <c r="A374" s="6">
        <v>373</v>
      </c>
      <c r="B374" s="6" t="s">
        <v>391</v>
      </c>
      <c r="C374" s="6" t="str">
        <f t="shared" si="20"/>
        <v xml:space="preserve">KT8FL </v>
      </c>
      <c r="D374" s="6" t="str">
        <f t="shared" si="21"/>
        <v>KT8</v>
      </c>
      <c r="E374" s="6" t="str">
        <f t="shared" si="22"/>
        <v xml:space="preserve">FL </v>
      </c>
      <c r="F374" s="6" t="str">
        <f t="shared" si="23"/>
        <v>E48160</v>
      </c>
    </row>
    <row r="375" spans="1:6" x14ac:dyDescent="0.3">
      <c r="A375" s="6">
        <v>374</v>
      </c>
      <c r="B375" s="6" t="s">
        <v>392</v>
      </c>
      <c r="C375" s="6" t="str">
        <f t="shared" si="20"/>
        <v xml:space="preserve">KT8FL </v>
      </c>
      <c r="D375" s="6" t="str">
        <f t="shared" si="21"/>
        <v>KT8</v>
      </c>
      <c r="E375" s="6" t="str">
        <f t="shared" si="22"/>
        <v xml:space="preserve">FL </v>
      </c>
      <c r="F375" s="6" t="str">
        <f t="shared" si="23"/>
        <v>E06542</v>
      </c>
    </row>
    <row r="376" spans="1:6" x14ac:dyDescent="0.3">
      <c r="A376" s="6">
        <v>375</v>
      </c>
      <c r="B376" s="6" t="s">
        <v>393</v>
      </c>
      <c r="C376" s="6" t="str">
        <f t="shared" si="20"/>
        <v xml:space="preserve">KT8FL </v>
      </c>
      <c r="D376" s="6" t="str">
        <f t="shared" si="21"/>
        <v>KT8</v>
      </c>
      <c r="E376" s="6" t="str">
        <f t="shared" si="22"/>
        <v xml:space="preserve">FL </v>
      </c>
      <c r="F376" s="6" t="str">
        <f t="shared" si="23"/>
        <v>E06545</v>
      </c>
    </row>
    <row r="377" spans="1:6" x14ac:dyDescent="0.3">
      <c r="A377" s="6">
        <v>376</v>
      </c>
      <c r="B377" s="6" t="s">
        <v>394</v>
      </c>
      <c r="C377" s="6" t="str">
        <f t="shared" si="20"/>
        <v xml:space="preserve">KT8FL </v>
      </c>
      <c r="D377" s="6" t="str">
        <f t="shared" si="21"/>
        <v>KT8</v>
      </c>
      <c r="E377" s="6" t="str">
        <f t="shared" si="22"/>
        <v xml:space="preserve">FL </v>
      </c>
      <c r="F377" s="6" t="str">
        <f t="shared" si="23"/>
        <v>E33362</v>
      </c>
    </row>
    <row r="378" spans="1:6" x14ac:dyDescent="0.3">
      <c r="A378" s="6">
        <v>377</v>
      </c>
      <c r="B378" s="6" t="s">
        <v>395</v>
      </c>
      <c r="C378" s="6" t="str">
        <f t="shared" si="20"/>
        <v xml:space="preserve">KT8FL </v>
      </c>
      <c r="D378" s="6" t="str">
        <f t="shared" si="21"/>
        <v>KT8</v>
      </c>
      <c r="E378" s="6" t="str">
        <f t="shared" si="22"/>
        <v xml:space="preserve">FL </v>
      </c>
      <c r="F378" s="6" t="str">
        <f t="shared" si="23"/>
        <v>E06584</v>
      </c>
    </row>
    <row r="379" spans="1:6" x14ac:dyDescent="0.3">
      <c r="A379" s="6">
        <v>378</v>
      </c>
      <c r="B379" s="6" t="s">
        <v>396</v>
      </c>
      <c r="C379" s="6" t="str">
        <f t="shared" si="20"/>
        <v xml:space="preserve">KT8FL </v>
      </c>
      <c r="D379" s="6" t="str">
        <f t="shared" si="21"/>
        <v>KT8</v>
      </c>
      <c r="E379" s="6" t="str">
        <f t="shared" si="22"/>
        <v xml:space="preserve">FL </v>
      </c>
      <c r="F379" s="6" t="str">
        <f t="shared" si="23"/>
        <v>E33290</v>
      </c>
    </row>
    <row r="380" spans="1:6" x14ac:dyDescent="0.3">
      <c r="A380" s="6">
        <v>379</v>
      </c>
      <c r="B380" s="6" t="s">
        <v>467</v>
      </c>
      <c r="C380" s="6" t="str">
        <f t="shared" si="20"/>
        <v xml:space="preserve">KT8FL </v>
      </c>
      <c r="D380" s="6" t="str">
        <f t="shared" si="21"/>
        <v>KT8</v>
      </c>
      <c r="E380" s="6" t="str">
        <f t="shared" si="22"/>
        <v xml:space="preserve">FL </v>
      </c>
      <c r="F380" s="6" t="str">
        <f t="shared" si="23"/>
        <v>515042</v>
      </c>
    </row>
    <row r="381" spans="1:6" x14ac:dyDescent="0.3">
      <c r="A381" s="6">
        <v>380</v>
      </c>
      <c r="B381" s="6" t="s">
        <v>400</v>
      </c>
      <c r="C381" s="6" t="str">
        <f t="shared" si="20"/>
        <v xml:space="preserve">KT12L </v>
      </c>
      <c r="D381" s="6" t="str">
        <f>LEFT(C381,4)</f>
        <v>KT12</v>
      </c>
      <c r="E381" s="6" t="str">
        <f>RIGHT(C381,2)</f>
        <v xml:space="preserve">L </v>
      </c>
      <c r="F381" s="6" t="str">
        <f t="shared" si="23"/>
        <v>079332</v>
      </c>
    </row>
    <row r="382" spans="1:6" x14ac:dyDescent="0.3">
      <c r="A382" s="6">
        <v>381</v>
      </c>
      <c r="B382" s="6" t="s">
        <v>397</v>
      </c>
      <c r="C382" s="6" t="str">
        <f t="shared" si="20"/>
        <v xml:space="preserve">KT12F </v>
      </c>
      <c r="D382" s="6" t="str">
        <f t="shared" ref="D382:D445" si="24">LEFT(C382,4)</f>
        <v>KT12</v>
      </c>
      <c r="E382" s="6" t="str">
        <f t="shared" ref="E382:E445" si="25">RIGHT(C382,2)</f>
        <v xml:space="preserve">F </v>
      </c>
      <c r="F382" s="6" t="str">
        <f t="shared" si="23"/>
        <v>049586</v>
      </c>
    </row>
    <row r="383" spans="1:6" x14ac:dyDescent="0.3">
      <c r="A383" s="6">
        <v>382</v>
      </c>
      <c r="B383" s="6" t="s">
        <v>398</v>
      </c>
      <c r="C383" s="6" t="str">
        <f t="shared" si="20"/>
        <v xml:space="preserve">KT12F </v>
      </c>
      <c r="D383" s="6" t="str">
        <f t="shared" si="24"/>
        <v>KT12</v>
      </c>
      <c r="E383" s="6" t="str">
        <f t="shared" si="25"/>
        <v xml:space="preserve">F </v>
      </c>
      <c r="F383" s="6" t="str">
        <f t="shared" si="23"/>
        <v>049582</v>
      </c>
    </row>
    <row r="384" spans="1:6" x14ac:dyDescent="0.3">
      <c r="A384" s="6">
        <v>383</v>
      </c>
      <c r="B384" s="6" t="s">
        <v>401</v>
      </c>
      <c r="C384" s="6" t="str">
        <f t="shared" si="20"/>
        <v xml:space="preserve">KT12F </v>
      </c>
      <c r="D384" s="6" t="str">
        <f t="shared" si="24"/>
        <v>KT12</v>
      </c>
      <c r="E384" s="6" t="str">
        <f t="shared" si="25"/>
        <v xml:space="preserve">F </v>
      </c>
      <c r="F384" s="6" t="str">
        <f t="shared" si="23"/>
        <v>148079</v>
      </c>
    </row>
    <row r="385" spans="1:6" x14ac:dyDescent="0.3">
      <c r="A385" s="6">
        <v>384</v>
      </c>
      <c r="B385" s="6" t="s">
        <v>402</v>
      </c>
      <c r="C385" s="6" t="str">
        <f t="shared" si="20"/>
        <v xml:space="preserve">KT12F </v>
      </c>
      <c r="D385" s="6" t="str">
        <f t="shared" si="24"/>
        <v>KT12</v>
      </c>
      <c r="E385" s="6" t="str">
        <f t="shared" si="25"/>
        <v xml:space="preserve">F </v>
      </c>
      <c r="F385" s="6" t="str">
        <f t="shared" si="23"/>
        <v>042233</v>
      </c>
    </row>
    <row r="386" spans="1:6" x14ac:dyDescent="0.3">
      <c r="A386" s="6">
        <v>385</v>
      </c>
      <c r="B386" s="6" t="s">
        <v>403</v>
      </c>
      <c r="C386" s="6" t="str">
        <f t="shared" si="20"/>
        <v xml:space="preserve">KT12F </v>
      </c>
      <c r="D386" s="6" t="str">
        <f t="shared" si="24"/>
        <v>KT12</v>
      </c>
      <c r="E386" s="6" t="str">
        <f t="shared" si="25"/>
        <v xml:space="preserve">F </v>
      </c>
      <c r="F386" s="6" t="str">
        <f t="shared" si="23"/>
        <v>146048</v>
      </c>
    </row>
    <row r="387" spans="1:6" x14ac:dyDescent="0.3">
      <c r="A387" s="6">
        <v>386</v>
      </c>
      <c r="B387" s="6" t="s">
        <v>404</v>
      </c>
      <c r="C387" s="6" t="str">
        <f t="shared" ref="C387:C450" si="26">LEFT(B387,6)</f>
        <v xml:space="preserve">KT12F </v>
      </c>
      <c r="D387" s="6" t="str">
        <f t="shared" si="24"/>
        <v>KT12</v>
      </c>
      <c r="E387" s="6" t="str">
        <f t="shared" si="25"/>
        <v xml:space="preserve">F </v>
      </c>
      <c r="F387" s="6" t="str">
        <f t="shared" ref="F387:F450" si="27">RIGHT(B387,6)</f>
        <v>049583</v>
      </c>
    </row>
    <row r="388" spans="1:6" x14ac:dyDescent="0.3">
      <c r="A388" s="6">
        <v>387</v>
      </c>
      <c r="B388" s="6" t="s">
        <v>405</v>
      </c>
      <c r="C388" s="6" t="str">
        <f t="shared" si="26"/>
        <v xml:space="preserve">KT12F </v>
      </c>
      <c r="D388" s="6" t="str">
        <f t="shared" si="24"/>
        <v>KT12</v>
      </c>
      <c r="E388" s="6" t="str">
        <f t="shared" si="25"/>
        <v xml:space="preserve">F </v>
      </c>
      <c r="F388" s="6" t="str">
        <f t="shared" si="27"/>
        <v>042232</v>
      </c>
    </row>
    <row r="389" spans="1:6" x14ac:dyDescent="0.3">
      <c r="A389" s="6">
        <v>388</v>
      </c>
      <c r="B389" s="6" t="s">
        <v>406</v>
      </c>
      <c r="C389" s="6" t="str">
        <f t="shared" si="26"/>
        <v xml:space="preserve">KT12F </v>
      </c>
      <c r="D389" s="6" t="str">
        <f t="shared" si="24"/>
        <v>KT12</v>
      </c>
      <c r="E389" s="6" t="str">
        <f t="shared" si="25"/>
        <v xml:space="preserve">F </v>
      </c>
      <c r="F389" s="6" t="str">
        <f t="shared" si="27"/>
        <v>146050</v>
      </c>
    </row>
    <row r="390" spans="1:6" x14ac:dyDescent="0.3">
      <c r="A390" s="6">
        <v>389</v>
      </c>
      <c r="B390" s="6" t="s">
        <v>407</v>
      </c>
      <c r="C390" s="6" t="str">
        <f t="shared" si="26"/>
        <v xml:space="preserve">KT12F </v>
      </c>
      <c r="D390" s="6" t="str">
        <f t="shared" si="24"/>
        <v>KT12</v>
      </c>
      <c r="E390" s="6" t="str">
        <f t="shared" si="25"/>
        <v xml:space="preserve">F </v>
      </c>
      <c r="F390" s="6" t="str">
        <f t="shared" si="27"/>
        <v>131465</v>
      </c>
    </row>
    <row r="391" spans="1:6" x14ac:dyDescent="0.3">
      <c r="A391" s="6">
        <v>390</v>
      </c>
      <c r="B391" s="6" t="s">
        <v>408</v>
      </c>
      <c r="C391" s="6" t="str">
        <f t="shared" si="26"/>
        <v xml:space="preserve">KT12F </v>
      </c>
      <c r="D391" s="6" t="str">
        <f t="shared" si="24"/>
        <v>KT12</v>
      </c>
      <c r="E391" s="6" t="str">
        <f t="shared" si="25"/>
        <v xml:space="preserve">F </v>
      </c>
      <c r="F391" s="6" t="str">
        <f t="shared" si="27"/>
        <v>130593</v>
      </c>
    </row>
    <row r="392" spans="1:6" x14ac:dyDescent="0.3">
      <c r="A392" s="6">
        <v>391</v>
      </c>
      <c r="B392" s="6" t="s">
        <v>409</v>
      </c>
      <c r="C392" s="6" t="str">
        <f t="shared" si="26"/>
        <v xml:space="preserve">KT12F </v>
      </c>
      <c r="D392" s="6" t="str">
        <f t="shared" si="24"/>
        <v>KT12</v>
      </c>
      <c r="E392" s="6" t="str">
        <f t="shared" si="25"/>
        <v xml:space="preserve">F </v>
      </c>
      <c r="F392" s="6" t="str">
        <f t="shared" si="27"/>
        <v>094795</v>
      </c>
    </row>
    <row r="393" spans="1:6" x14ac:dyDescent="0.3">
      <c r="A393" s="6">
        <v>392</v>
      </c>
      <c r="B393" s="6" t="s">
        <v>410</v>
      </c>
      <c r="C393" s="6" t="str">
        <f t="shared" si="26"/>
        <v xml:space="preserve">KT12F </v>
      </c>
      <c r="D393" s="6" t="str">
        <f t="shared" si="24"/>
        <v>KT12</v>
      </c>
      <c r="E393" s="6" t="str">
        <f t="shared" si="25"/>
        <v xml:space="preserve">F </v>
      </c>
      <c r="F393" s="6" t="str">
        <f t="shared" si="27"/>
        <v>094794</v>
      </c>
    </row>
    <row r="394" spans="1:6" x14ac:dyDescent="0.3">
      <c r="A394" s="6">
        <v>393</v>
      </c>
      <c r="B394" s="6" t="s">
        <v>411</v>
      </c>
      <c r="C394" s="6" t="str">
        <f t="shared" si="26"/>
        <v xml:space="preserve">KT12F </v>
      </c>
      <c r="D394" s="6" t="str">
        <f t="shared" si="24"/>
        <v>KT12</v>
      </c>
      <c r="E394" s="6" t="str">
        <f t="shared" si="25"/>
        <v xml:space="preserve">F </v>
      </c>
      <c r="F394" s="6" t="str">
        <f t="shared" si="27"/>
        <v>148072</v>
      </c>
    </row>
    <row r="395" spans="1:6" x14ac:dyDescent="0.3">
      <c r="A395" s="6">
        <v>394</v>
      </c>
      <c r="B395" s="6" t="s">
        <v>412</v>
      </c>
      <c r="C395" s="6" t="str">
        <f t="shared" si="26"/>
        <v xml:space="preserve">KT12F </v>
      </c>
      <c r="D395" s="6" t="str">
        <f t="shared" si="24"/>
        <v>KT12</v>
      </c>
      <c r="E395" s="6" t="str">
        <f t="shared" si="25"/>
        <v xml:space="preserve">F </v>
      </c>
      <c r="F395" s="6" t="str">
        <f t="shared" si="27"/>
        <v>093621</v>
      </c>
    </row>
    <row r="396" spans="1:6" x14ac:dyDescent="0.3">
      <c r="A396" s="6">
        <v>395</v>
      </c>
      <c r="B396" s="6" t="s">
        <v>413</v>
      </c>
      <c r="C396" s="6" t="str">
        <f t="shared" si="26"/>
        <v xml:space="preserve">KT12F </v>
      </c>
      <c r="D396" s="6" t="str">
        <f t="shared" si="24"/>
        <v>KT12</v>
      </c>
      <c r="E396" s="6" t="str">
        <f t="shared" si="25"/>
        <v xml:space="preserve">F </v>
      </c>
      <c r="F396" s="6" t="str">
        <f t="shared" si="27"/>
        <v>146045</v>
      </c>
    </row>
    <row r="397" spans="1:6" x14ac:dyDescent="0.3">
      <c r="A397" s="6">
        <v>396</v>
      </c>
      <c r="B397" s="6" t="s">
        <v>414</v>
      </c>
      <c r="C397" s="6" t="str">
        <f t="shared" si="26"/>
        <v xml:space="preserve">KT12F </v>
      </c>
      <c r="D397" s="6" t="str">
        <f t="shared" si="24"/>
        <v>KT12</v>
      </c>
      <c r="E397" s="6" t="str">
        <f t="shared" si="25"/>
        <v xml:space="preserve">F </v>
      </c>
      <c r="F397" s="6" t="str">
        <f t="shared" si="27"/>
        <v>049585</v>
      </c>
    </row>
    <row r="398" spans="1:6" x14ac:dyDescent="0.3">
      <c r="A398" s="6">
        <v>397</v>
      </c>
      <c r="B398" s="6" t="s">
        <v>415</v>
      </c>
      <c r="C398" s="6" t="str">
        <f t="shared" si="26"/>
        <v xml:space="preserve">KT12F </v>
      </c>
      <c r="D398" s="6" t="str">
        <f t="shared" si="24"/>
        <v>KT12</v>
      </c>
      <c r="E398" s="6" t="str">
        <f t="shared" si="25"/>
        <v xml:space="preserve">F </v>
      </c>
      <c r="F398" s="6" t="str">
        <f t="shared" si="27"/>
        <v>049581</v>
      </c>
    </row>
    <row r="399" spans="1:6" x14ac:dyDescent="0.3">
      <c r="A399" s="6">
        <v>398</v>
      </c>
      <c r="B399" s="6" t="s">
        <v>416</v>
      </c>
      <c r="C399" s="6" t="str">
        <f t="shared" si="26"/>
        <v xml:space="preserve">KT12F </v>
      </c>
      <c r="D399" s="6" t="str">
        <f t="shared" si="24"/>
        <v>KT12</v>
      </c>
      <c r="E399" s="6" t="str">
        <f t="shared" si="25"/>
        <v xml:space="preserve">F </v>
      </c>
      <c r="F399" s="6" t="str">
        <f t="shared" si="27"/>
        <v>093602</v>
      </c>
    </row>
    <row r="400" spans="1:6" x14ac:dyDescent="0.3">
      <c r="A400" s="6">
        <v>399</v>
      </c>
      <c r="B400" s="6" t="s">
        <v>417</v>
      </c>
      <c r="C400" s="6" t="str">
        <f t="shared" si="26"/>
        <v xml:space="preserve">KT12F </v>
      </c>
      <c r="D400" s="6" t="str">
        <f t="shared" si="24"/>
        <v>KT12</v>
      </c>
      <c r="E400" s="6" t="str">
        <f t="shared" si="25"/>
        <v xml:space="preserve">F </v>
      </c>
      <c r="F400" s="6" t="str">
        <f t="shared" si="27"/>
        <v>049542</v>
      </c>
    </row>
    <row r="401" spans="1:6" x14ac:dyDescent="0.3">
      <c r="A401" s="6">
        <v>400</v>
      </c>
      <c r="B401" s="6" t="s">
        <v>418</v>
      </c>
      <c r="C401" s="6" t="str">
        <f t="shared" si="26"/>
        <v xml:space="preserve">KT12F </v>
      </c>
      <c r="D401" s="6" t="str">
        <f t="shared" si="24"/>
        <v>KT12</v>
      </c>
      <c r="E401" s="6" t="str">
        <f t="shared" si="25"/>
        <v xml:space="preserve">F </v>
      </c>
      <c r="F401" s="6" t="str">
        <f t="shared" si="27"/>
        <v>049584</v>
      </c>
    </row>
    <row r="402" spans="1:6" x14ac:dyDescent="0.3">
      <c r="A402" s="6">
        <v>401</v>
      </c>
      <c r="B402" s="6" t="s">
        <v>419</v>
      </c>
      <c r="C402" s="6" t="str">
        <f t="shared" si="26"/>
        <v xml:space="preserve">KT12F </v>
      </c>
      <c r="D402" s="6" t="str">
        <f t="shared" si="24"/>
        <v>KT12</v>
      </c>
      <c r="E402" s="6" t="str">
        <f t="shared" si="25"/>
        <v xml:space="preserve">F </v>
      </c>
      <c r="F402" s="6" t="str">
        <f t="shared" si="27"/>
        <v>049509</v>
      </c>
    </row>
    <row r="403" spans="1:6" x14ac:dyDescent="0.3">
      <c r="A403" s="6">
        <v>402</v>
      </c>
      <c r="B403" s="6" t="s">
        <v>420</v>
      </c>
      <c r="C403" s="6" t="str">
        <f t="shared" si="26"/>
        <v xml:space="preserve">KT12F </v>
      </c>
      <c r="D403" s="6" t="str">
        <f t="shared" si="24"/>
        <v>KT12</v>
      </c>
      <c r="E403" s="6" t="str">
        <f t="shared" si="25"/>
        <v xml:space="preserve">F </v>
      </c>
      <c r="F403" s="6" t="str">
        <f t="shared" si="27"/>
        <v>049550</v>
      </c>
    </row>
    <row r="404" spans="1:6" x14ac:dyDescent="0.3">
      <c r="A404" s="6">
        <v>403</v>
      </c>
      <c r="B404" s="6" t="s">
        <v>421</v>
      </c>
      <c r="C404" s="6" t="str">
        <f t="shared" si="26"/>
        <v xml:space="preserve">KT12F </v>
      </c>
      <c r="D404" s="6" t="str">
        <f t="shared" si="24"/>
        <v>KT12</v>
      </c>
      <c r="E404" s="6" t="str">
        <f t="shared" si="25"/>
        <v xml:space="preserve">F </v>
      </c>
      <c r="F404" s="6" t="str">
        <f t="shared" si="27"/>
        <v>146021</v>
      </c>
    </row>
    <row r="405" spans="1:6" x14ac:dyDescent="0.3">
      <c r="A405" s="6">
        <v>404</v>
      </c>
      <c r="B405" s="6" t="s">
        <v>422</v>
      </c>
      <c r="C405" s="6" t="str">
        <f t="shared" si="26"/>
        <v xml:space="preserve">KT12F </v>
      </c>
      <c r="D405" s="6" t="str">
        <f t="shared" si="24"/>
        <v>KT12</v>
      </c>
      <c r="E405" s="6" t="str">
        <f t="shared" si="25"/>
        <v xml:space="preserve">F </v>
      </c>
      <c r="F405" s="6" t="str">
        <f t="shared" si="27"/>
        <v>049506</v>
      </c>
    </row>
    <row r="406" spans="1:6" x14ac:dyDescent="0.3">
      <c r="A406" s="6">
        <v>405</v>
      </c>
      <c r="B406" s="6" t="s">
        <v>423</v>
      </c>
      <c r="C406" s="6" t="str">
        <f t="shared" si="26"/>
        <v xml:space="preserve">KT12F </v>
      </c>
      <c r="D406" s="6" t="str">
        <f t="shared" si="24"/>
        <v>KT12</v>
      </c>
      <c r="E406" s="6" t="str">
        <f t="shared" si="25"/>
        <v xml:space="preserve">F </v>
      </c>
      <c r="F406" s="6" t="str">
        <f t="shared" si="27"/>
        <v>049510</v>
      </c>
    </row>
    <row r="407" spans="1:6" x14ac:dyDescent="0.3">
      <c r="A407" s="6">
        <v>406</v>
      </c>
      <c r="B407" s="6" t="s">
        <v>424</v>
      </c>
      <c r="C407" s="6" t="str">
        <f t="shared" si="26"/>
        <v xml:space="preserve">KT12F </v>
      </c>
      <c r="D407" s="6" t="str">
        <f t="shared" si="24"/>
        <v>KT12</v>
      </c>
      <c r="E407" s="6" t="str">
        <f t="shared" si="25"/>
        <v xml:space="preserve">F </v>
      </c>
      <c r="F407" s="6" t="str">
        <f t="shared" si="27"/>
        <v>130591</v>
      </c>
    </row>
    <row r="408" spans="1:6" x14ac:dyDescent="0.3">
      <c r="A408" s="6">
        <v>407</v>
      </c>
      <c r="B408" s="6" t="s">
        <v>425</v>
      </c>
      <c r="C408" s="6" t="str">
        <f t="shared" si="26"/>
        <v xml:space="preserve">KT12F </v>
      </c>
      <c r="D408" s="6" t="str">
        <f t="shared" si="24"/>
        <v>KT12</v>
      </c>
      <c r="E408" s="6" t="str">
        <f t="shared" si="25"/>
        <v xml:space="preserve">F </v>
      </c>
      <c r="F408" s="6" t="str">
        <f t="shared" si="27"/>
        <v>146046</v>
      </c>
    </row>
    <row r="409" spans="1:6" x14ac:dyDescent="0.3">
      <c r="A409" s="6">
        <v>408</v>
      </c>
      <c r="B409" s="6" t="s">
        <v>426</v>
      </c>
      <c r="C409" s="6" t="str">
        <f t="shared" si="26"/>
        <v xml:space="preserve">KT12F </v>
      </c>
      <c r="D409" s="6" t="str">
        <f t="shared" si="24"/>
        <v>KT12</v>
      </c>
      <c r="E409" s="6" t="str">
        <f t="shared" si="25"/>
        <v xml:space="preserve">F </v>
      </c>
      <c r="F409" s="6" t="str">
        <f t="shared" si="27"/>
        <v>130588</v>
      </c>
    </row>
    <row r="410" spans="1:6" x14ac:dyDescent="0.3">
      <c r="A410" s="6">
        <v>409</v>
      </c>
      <c r="B410" s="6" t="s">
        <v>427</v>
      </c>
      <c r="C410" s="6" t="str">
        <f t="shared" si="26"/>
        <v xml:space="preserve">KT12F </v>
      </c>
      <c r="D410" s="6" t="str">
        <f t="shared" si="24"/>
        <v>KT12</v>
      </c>
      <c r="E410" s="6" t="str">
        <f t="shared" si="25"/>
        <v xml:space="preserve">F </v>
      </c>
      <c r="F410" s="6" t="str">
        <f t="shared" si="27"/>
        <v>148014</v>
      </c>
    </row>
    <row r="411" spans="1:6" x14ac:dyDescent="0.3">
      <c r="A411" s="6">
        <v>410</v>
      </c>
      <c r="B411" s="6" t="s">
        <v>428</v>
      </c>
      <c r="C411" s="6" t="str">
        <f t="shared" si="26"/>
        <v xml:space="preserve">KT12F </v>
      </c>
      <c r="D411" s="6" t="str">
        <f t="shared" si="24"/>
        <v>KT12</v>
      </c>
      <c r="E411" s="6" t="str">
        <f t="shared" si="25"/>
        <v xml:space="preserve">F </v>
      </c>
      <c r="F411" s="6" t="str">
        <f t="shared" si="27"/>
        <v>146044</v>
      </c>
    </row>
    <row r="412" spans="1:6" x14ac:dyDescent="0.3">
      <c r="A412" s="6">
        <v>411</v>
      </c>
      <c r="B412" s="6" t="s">
        <v>429</v>
      </c>
      <c r="C412" s="6" t="str">
        <f t="shared" si="26"/>
        <v xml:space="preserve">KT12F </v>
      </c>
      <c r="D412" s="6" t="str">
        <f t="shared" si="24"/>
        <v>KT12</v>
      </c>
      <c r="E412" s="6" t="str">
        <f t="shared" si="25"/>
        <v xml:space="preserve">F </v>
      </c>
      <c r="F412" s="6" t="str">
        <f t="shared" si="27"/>
        <v>130594</v>
      </c>
    </row>
    <row r="413" spans="1:6" x14ac:dyDescent="0.3">
      <c r="A413" s="6">
        <v>412</v>
      </c>
      <c r="B413" s="6" t="s">
        <v>430</v>
      </c>
      <c r="C413" s="6" t="str">
        <f t="shared" si="26"/>
        <v xml:space="preserve">KT12F </v>
      </c>
      <c r="D413" s="6" t="str">
        <f t="shared" si="24"/>
        <v>KT12</v>
      </c>
      <c r="E413" s="6" t="str">
        <f t="shared" si="25"/>
        <v xml:space="preserve">F </v>
      </c>
      <c r="F413" s="6" t="str">
        <f t="shared" si="27"/>
        <v>130592</v>
      </c>
    </row>
    <row r="414" spans="1:6" x14ac:dyDescent="0.3">
      <c r="A414" s="6">
        <v>413</v>
      </c>
      <c r="B414" s="6" t="s">
        <v>431</v>
      </c>
      <c r="C414" s="6" t="str">
        <f t="shared" si="26"/>
        <v xml:space="preserve">KT12F </v>
      </c>
      <c r="D414" s="6" t="str">
        <f t="shared" si="24"/>
        <v>KT12</v>
      </c>
      <c r="E414" s="6" t="str">
        <f t="shared" si="25"/>
        <v xml:space="preserve">F </v>
      </c>
      <c r="F414" s="6" t="str">
        <f t="shared" si="27"/>
        <v>130590</v>
      </c>
    </row>
    <row r="415" spans="1:6" x14ac:dyDescent="0.3">
      <c r="A415" s="6">
        <v>414</v>
      </c>
      <c r="B415" s="6" t="s">
        <v>449</v>
      </c>
      <c r="C415" s="6" t="str">
        <f t="shared" si="26"/>
        <v xml:space="preserve">KT12L </v>
      </c>
      <c r="D415" s="6" t="str">
        <f t="shared" si="24"/>
        <v>KT12</v>
      </c>
      <c r="E415" s="6" t="str">
        <f t="shared" si="25"/>
        <v xml:space="preserve">L </v>
      </c>
      <c r="F415" s="6" t="str">
        <f t="shared" si="27"/>
        <v>079319</v>
      </c>
    </row>
    <row r="416" spans="1:6" x14ac:dyDescent="0.3">
      <c r="A416" s="6">
        <v>415</v>
      </c>
      <c r="B416" s="6" t="s">
        <v>432</v>
      </c>
      <c r="C416" s="6" t="str">
        <f t="shared" si="26"/>
        <v xml:space="preserve">KT12L </v>
      </c>
      <c r="D416" s="6" t="str">
        <f t="shared" si="24"/>
        <v>KT12</v>
      </c>
      <c r="E416" s="6" t="str">
        <f t="shared" si="25"/>
        <v xml:space="preserve">L </v>
      </c>
      <c r="F416" s="6" t="str">
        <f t="shared" si="27"/>
        <v>079331</v>
      </c>
    </row>
    <row r="417" spans="1:6" x14ac:dyDescent="0.3">
      <c r="A417" s="6">
        <v>416</v>
      </c>
      <c r="B417" s="6" t="s">
        <v>433</v>
      </c>
      <c r="C417" s="6" t="str">
        <f t="shared" si="26"/>
        <v xml:space="preserve">KT12F </v>
      </c>
      <c r="D417" s="6" t="str">
        <f t="shared" si="24"/>
        <v>KT12</v>
      </c>
      <c r="E417" s="6" t="str">
        <f t="shared" si="25"/>
        <v xml:space="preserve">F </v>
      </c>
      <c r="F417" s="6" t="str">
        <f t="shared" si="27"/>
        <v>049531</v>
      </c>
    </row>
    <row r="418" spans="1:6" x14ac:dyDescent="0.3">
      <c r="A418" s="6">
        <v>417</v>
      </c>
      <c r="B418" s="6" t="s">
        <v>434</v>
      </c>
      <c r="C418" s="6" t="str">
        <f t="shared" si="26"/>
        <v xml:space="preserve">KT12F </v>
      </c>
      <c r="D418" s="6" t="str">
        <f t="shared" si="24"/>
        <v>KT12</v>
      </c>
      <c r="E418" s="6" t="str">
        <f t="shared" si="25"/>
        <v xml:space="preserve">F </v>
      </c>
      <c r="F418" s="6" t="str">
        <f t="shared" si="27"/>
        <v>049508</v>
      </c>
    </row>
    <row r="419" spans="1:6" x14ac:dyDescent="0.3">
      <c r="A419" s="6">
        <v>418</v>
      </c>
      <c r="B419" s="6" t="s">
        <v>435</v>
      </c>
      <c r="C419" s="6" t="str">
        <f t="shared" si="26"/>
        <v xml:space="preserve">KT12F </v>
      </c>
      <c r="D419" s="6" t="str">
        <f t="shared" si="24"/>
        <v>KT12</v>
      </c>
      <c r="E419" s="6" t="str">
        <f t="shared" si="25"/>
        <v xml:space="preserve">F </v>
      </c>
      <c r="F419" s="6" t="str">
        <f t="shared" si="27"/>
        <v>093622</v>
      </c>
    </row>
    <row r="420" spans="1:6" x14ac:dyDescent="0.3">
      <c r="A420" s="6">
        <v>419</v>
      </c>
      <c r="B420" s="6" t="s">
        <v>436</v>
      </c>
      <c r="C420" s="6" t="str">
        <f t="shared" si="26"/>
        <v xml:space="preserve">KT12F </v>
      </c>
      <c r="D420" s="6" t="str">
        <f t="shared" si="24"/>
        <v>KT12</v>
      </c>
      <c r="E420" s="6" t="str">
        <f t="shared" si="25"/>
        <v xml:space="preserve">F </v>
      </c>
      <c r="F420" s="6" t="str">
        <f t="shared" si="27"/>
        <v>146047</v>
      </c>
    </row>
    <row r="421" spans="1:6" x14ac:dyDescent="0.3">
      <c r="A421" s="6">
        <v>420</v>
      </c>
      <c r="B421" s="6" t="s">
        <v>437</v>
      </c>
      <c r="C421" s="6" t="str">
        <f t="shared" si="26"/>
        <v xml:space="preserve">KT12F </v>
      </c>
      <c r="D421" s="6" t="str">
        <f t="shared" si="24"/>
        <v>KT12</v>
      </c>
      <c r="E421" s="6" t="str">
        <f t="shared" si="25"/>
        <v xml:space="preserve">F </v>
      </c>
      <c r="F421" s="6" t="str">
        <f t="shared" si="27"/>
        <v>049507</v>
      </c>
    </row>
    <row r="422" spans="1:6" x14ac:dyDescent="0.3">
      <c r="A422" s="6">
        <v>421</v>
      </c>
      <c r="B422" s="6" t="s">
        <v>438</v>
      </c>
      <c r="C422" s="6" t="str">
        <f t="shared" si="26"/>
        <v xml:space="preserve">KT12L </v>
      </c>
      <c r="D422" s="6" t="str">
        <f t="shared" si="24"/>
        <v>KT12</v>
      </c>
      <c r="E422" s="6" t="str">
        <f t="shared" si="25"/>
        <v xml:space="preserve">L </v>
      </c>
      <c r="F422" s="6" t="str">
        <f t="shared" si="27"/>
        <v>079361</v>
      </c>
    </row>
    <row r="423" spans="1:6" x14ac:dyDescent="0.3">
      <c r="A423" s="6">
        <v>422</v>
      </c>
      <c r="B423" s="6" t="s">
        <v>439</v>
      </c>
      <c r="C423" s="6" t="str">
        <f t="shared" si="26"/>
        <v xml:space="preserve">KT12F </v>
      </c>
      <c r="D423" s="6" t="str">
        <f t="shared" si="24"/>
        <v>KT12</v>
      </c>
      <c r="E423" s="6" t="str">
        <f t="shared" si="25"/>
        <v xml:space="preserve">F </v>
      </c>
      <c r="F423" s="6" t="str">
        <f t="shared" si="27"/>
        <v>146049</v>
      </c>
    </row>
    <row r="424" spans="1:6" x14ac:dyDescent="0.3">
      <c r="A424" s="6">
        <v>423</v>
      </c>
      <c r="B424" s="6" t="s">
        <v>440</v>
      </c>
      <c r="C424" s="6" t="str">
        <f t="shared" si="26"/>
        <v xml:space="preserve">KT12L </v>
      </c>
      <c r="D424" s="6" t="str">
        <f t="shared" si="24"/>
        <v>KT12</v>
      </c>
      <c r="E424" s="6" t="str">
        <f t="shared" si="25"/>
        <v xml:space="preserve">L </v>
      </c>
      <c r="F424" s="6" t="str">
        <f t="shared" si="27"/>
        <v>079317</v>
      </c>
    </row>
    <row r="425" spans="1:6" x14ac:dyDescent="0.3">
      <c r="A425" s="6">
        <v>424</v>
      </c>
      <c r="B425" s="6" t="s">
        <v>441</v>
      </c>
      <c r="C425" s="6" t="str">
        <f t="shared" si="26"/>
        <v xml:space="preserve">KT12L </v>
      </c>
      <c r="D425" s="6" t="str">
        <f t="shared" si="24"/>
        <v>KT12</v>
      </c>
      <c r="E425" s="6" t="str">
        <f t="shared" si="25"/>
        <v xml:space="preserve">L </v>
      </c>
      <c r="F425" s="6" t="str">
        <f t="shared" si="27"/>
        <v>079320</v>
      </c>
    </row>
    <row r="426" spans="1:6" x14ac:dyDescent="0.3">
      <c r="A426" s="6">
        <v>425</v>
      </c>
      <c r="B426" s="6" t="s">
        <v>442</v>
      </c>
      <c r="C426" s="6" t="str">
        <f t="shared" si="26"/>
        <v xml:space="preserve">KT12L </v>
      </c>
      <c r="D426" s="6" t="str">
        <f t="shared" si="24"/>
        <v>KT12</v>
      </c>
      <c r="E426" s="6" t="str">
        <f t="shared" si="25"/>
        <v xml:space="preserve">L </v>
      </c>
      <c r="F426" s="6" t="str">
        <f t="shared" si="27"/>
        <v>079333</v>
      </c>
    </row>
    <row r="427" spans="1:6" x14ac:dyDescent="0.3">
      <c r="A427" s="6">
        <v>426</v>
      </c>
      <c r="B427" s="6" t="s">
        <v>443</v>
      </c>
      <c r="C427" s="6" t="str">
        <f t="shared" si="26"/>
        <v xml:space="preserve">KT12L </v>
      </c>
      <c r="D427" s="6" t="str">
        <f t="shared" si="24"/>
        <v>KT12</v>
      </c>
      <c r="E427" s="6" t="str">
        <f t="shared" si="25"/>
        <v xml:space="preserve">L </v>
      </c>
      <c r="F427" s="6" t="str">
        <f t="shared" si="27"/>
        <v>079318</v>
      </c>
    </row>
    <row r="428" spans="1:6" x14ac:dyDescent="0.3">
      <c r="A428" s="6">
        <v>427</v>
      </c>
      <c r="B428" s="6" t="s">
        <v>444</v>
      </c>
      <c r="C428" s="6" t="str">
        <f t="shared" si="26"/>
        <v xml:space="preserve">KT12F </v>
      </c>
      <c r="D428" s="6" t="str">
        <f t="shared" si="24"/>
        <v>KT12</v>
      </c>
      <c r="E428" s="6" t="str">
        <f t="shared" si="25"/>
        <v xml:space="preserve">F </v>
      </c>
      <c r="F428" s="6" t="str">
        <f t="shared" si="27"/>
        <v>148073</v>
      </c>
    </row>
    <row r="429" spans="1:6" x14ac:dyDescent="0.3">
      <c r="A429" s="6">
        <v>428</v>
      </c>
      <c r="B429" s="6" t="s">
        <v>445</v>
      </c>
      <c r="C429" s="6" t="str">
        <f t="shared" si="26"/>
        <v xml:space="preserve">KT12F </v>
      </c>
      <c r="D429" s="6" t="str">
        <f t="shared" si="24"/>
        <v>KT12</v>
      </c>
      <c r="E429" s="6" t="str">
        <f t="shared" si="25"/>
        <v xml:space="preserve">F </v>
      </c>
      <c r="F429" s="6" t="str">
        <f t="shared" si="27"/>
        <v>148078</v>
      </c>
    </row>
    <row r="430" spans="1:6" x14ac:dyDescent="0.3">
      <c r="A430" s="6">
        <v>429</v>
      </c>
      <c r="B430" s="6" t="s">
        <v>446</v>
      </c>
      <c r="C430" s="6" t="str">
        <f t="shared" si="26"/>
        <v xml:space="preserve">KT12F </v>
      </c>
      <c r="D430" s="6" t="str">
        <f t="shared" si="24"/>
        <v>KT12</v>
      </c>
      <c r="E430" s="6" t="str">
        <f t="shared" si="25"/>
        <v xml:space="preserve">F </v>
      </c>
      <c r="F430" s="6" t="str">
        <f t="shared" si="27"/>
        <v>148077</v>
      </c>
    </row>
    <row r="431" spans="1:6" x14ac:dyDescent="0.3">
      <c r="A431" s="6">
        <v>430</v>
      </c>
      <c r="B431" s="6" t="s">
        <v>447</v>
      </c>
      <c r="C431" s="6" t="str">
        <f t="shared" si="26"/>
        <v xml:space="preserve">KT12F </v>
      </c>
      <c r="D431" s="6" t="str">
        <f t="shared" si="24"/>
        <v>KT12</v>
      </c>
      <c r="E431" s="6" t="str">
        <f t="shared" si="25"/>
        <v xml:space="preserve">F </v>
      </c>
      <c r="F431" s="6" t="str">
        <f t="shared" si="27"/>
        <v>093627</v>
      </c>
    </row>
    <row r="432" spans="1:6" x14ac:dyDescent="0.3">
      <c r="A432" s="6">
        <v>431</v>
      </c>
      <c r="B432" s="6" t="s">
        <v>448</v>
      </c>
      <c r="C432" s="6" t="str">
        <f t="shared" si="26"/>
        <v xml:space="preserve">KT12F </v>
      </c>
      <c r="D432" s="6" t="str">
        <f t="shared" si="24"/>
        <v>KT12</v>
      </c>
      <c r="E432" s="6" t="str">
        <f t="shared" si="25"/>
        <v xml:space="preserve">F </v>
      </c>
      <c r="F432" s="6" t="str">
        <f t="shared" si="27"/>
        <v>042234</v>
      </c>
    </row>
    <row r="433" spans="1:6" x14ac:dyDescent="0.3">
      <c r="A433" s="6">
        <v>432</v>
      </c>
      <c r="B433" s="6" t="s">
        <v>465</v>
      </c>
      <c r="C433" s="6" t="str">
        <f t="shared" si="26"/>
        <v xml:space="preserve">KT12F </v>
      </c>
      <c r="D433" s="6" t="str">
        <f t="shared" si="24"/>
        <v>KT12</v>
      </c>
      <c r="E433" s="6" t="str">
        <f t="shared" si="25"/>
        <v xml:space="preserve">F </v>
      </c>
      <c r="F433" s="6" t="str">
        <f t="shared" si="27"/>
        <v>049541</v>
      </c>
    </row>
    <row r="434" spans="1:6" x14ac:dyDescent="0.3">
      <c r="A434" s="6">
        <v>433</v>
      </c>
      <c r="B434" s="6" t="s">
        <v>466</v>
      </c>
      <c r="C434" s="6" t="str">
        <f t="shared" si="26"/>
        <v xml:space="preserve">KT12F </v>
      </c>
      <c r="D434" s="6" t="str">
        <f t="shared" si="24"/>
        <v>KT12</v>
      </c>
      <c r="E434" s="6" t="str">
        <f t="shared" si="25"/>
        <v xml:space="preserve">F </v>
      </c>
      <c r="F434" s="6" t="str">
        <f t="shared" si="27"/>
        <v>130589</v>
      </c>
    </row>
    <row r="435" spans="1:6" x14ac:dyDescent="0.3">
      <c r="A435" s="6">
        <v>434</v>
      </c>
      <c r="B435" s="6" t="s">
        <v>479</v>
      </c>
      <c r="C435" s="6" t="str">
        <f t="shared" si="26"/>
        <v xml:space="preserve">KT12F </v>
      </c>
      <c r="D435" s="6" t="str">
        <f t="shared" si="24"/>
        <v>KT12</v>
      </c>
      <c r="E435" s="6" t="str">
        <f t="shared" si="25"/>
        <v xml:space="preserve">F </v>
      </c>
      <c r="F435" s="6" t="str">
        <f t="shared" si="27"/>
        <v>148015</v>
      </c>
    </row>
    <row r="436" spans="1:6" x14ac:dyDescent="0.3">
      <c r="A436" s="6">
        <v>435</v>
      </c>
      <c r="B436" s="6" t="s">
        <v>450</v>
      </c>
      <c r="C436" s="6" t="str">
        <f t="shared" si="26"/>
        <v xml:space="preserve">KT16F </v>
      </c>
      <c r="D436" s="6" t="str">
        <f t="shared" si="24"/>
        <v>KT16</v>
      </c>
      <c r="E436" s="6" t="str">
        <f t="shared" si="25"/>
        <v xml:space="preserve">F </v>
      </c>
      <c r="F436" s="6" t="str">
        <f t="shared" si="27"/>
        <v>069785</v>
      </c>
    </row>
    <row r="437" spans="1:6" x14ac:dyDescent="0.3">
      <c r="A437" s="6">
        <v>436</v>
      </c>
      <c r="B437" s="6" t="s">
        <v>451</v>
      </c>
      <c r="C437" s="6" t="str">
        <f t="shared" si="26"/>
        <v xml:space="preserve">KT16F </v>
      </c>
      <c r="D437" s="6" t="str">
        <f t="shared" si="24"/>
        <v>KT16</v>
      </c>
      <c r="E437" s="6" t="str">
        <f t="shared" si="25"/>
        <v xml:space="preserve">F </v>
      </c>
      <c r="F437" s="6" t="str">
        <f t="shared" si="27"/>
        <v>069787</v>
      </c>
    </row>
    <row r="438" spans="1:6" x14ac:dyDescent="0.3">
      <c r="A438" s="6">
        <v>437</v>
      </c>
      <c r="B438" s="6" t="s">
        <v>452</v>
      </c>
      <c r="C438" s="6" t="str">
        <f t="shared" si="26"/>
        <v xml:space="preserve">KT16F </v>
      </c>
      <c r="D438" s="6" t="str">
        <f t="shared" si="24"/>
        <v>KT16</v>
      </c>
      <c r="E438" s="6" t="str">
        <f t="shared" si="25"/>
        <v xml:space="preserve">F </v>
      </c>
      <c r="F438" s="6" t="str">
        <f t="shared" si="27"/>
        <v>069786</v>
      </c>
    </row>
    <row r="439" spans="1:6" x14ac:dyDescent="0.3">
      <c r="A439" s="6">
        <v>438</v>
      </c>
      <c r="B439" s="6" t="s">
        <v>453</v>
      </c>
      <c r="C439" s="6" t="str">
        <f t="shared" si="26"/>
        <v xml:space="preserve">KT16F </v>
      </c>
      <c r="D439" s="6" t="str">
        <f t="shared" si="24"/>
        <v>KT16</v>
      </c>
      <c r="E439" s="6" t="str">
        <f t="shared" si="25"/>
        <v xml:space="preserve">F </v>
      </c>
      <c r="F439" s="6" t="str">
        <f t="shared" si="27"/>
        <v>069784</v>
      </c>
    </row>
    <row r="440" spans="1:6" x14ac:dyDescent="0.3">
      <c r="A440" s="6">
        <v>439</v>
      </c>
      <c r="B440" s="6" t="s">
        <v>454</v>
      </c>
      <c r="C440" s="6" t="str">
        <f t="shared" si="26"/>
        <v xml:space="preserve">KT16F </v>
      </c>
      <c r="D440" s="6" t="str">
        <f t="shared" si="24"/>
        <v>KT16</v>
      </c>
      <c r="E440" s="6" t="str">
        <f t="shared" si="25"/>
        <v xml:space="preserve">F </v>
      </c>
      <c r="F440" s="6" t="str">
        <f t="shared" si="27"/>
        <v>077661</v>
      </c>
    </row>
    <row r="441" spans="1:6" x14ac:dyDescent="0.3">
      <c r="A441" s="6">
        <v>440</v>
      </c>
      <c r="B441" s="6" t="s">
        <v>455</v>
      </c>
      <c r="C441" s="6" t="str">
        <f t="shared" si="26"/>
        <v xml:space="preserve">KT16F </v>
      </c>
      <c r="D441" s="6" t="str">
        <f t="shared" si="24"/>
        <v>KT16</v>
      </c>
      <c r="E441" s="6" t="str">
        <f t="shared" si="25"/>
        <v xml:space="preserve">F </v>
      </c>
      <c r="F441" s="6" t="str">
        <f t="shared" si="27"/>
        <v>077680</v>
      </c>
    </row>
    <row r="442" spans="1:6" x14ac:dyDescent="0.3">
      <c r="A442" s="6">
        <v>441</v>
      </c>
      <c r="B442" s="6" t="s">
        <v>456</v>
      </c>
      <c r="C442" s="6" t="str">
        <f t="shared" si="26"/>
        <v xml:space="preserve">KT16F </v>
      </c>
      <c r="D442" s="6" t="str">
        <f t="shared" si="24"/>
        <v>KT16</v>
      </c>
      <c r="E442" s="6" t="str">
        <f t="shared" si="25"/>
        <v xml:space="preserve">F </v>
      </c>
      <c r="F442" s="6" t="str">
        <f t="shared" si="27"/>
        <v>034853</v>
      </c>
    </row>
    <row r="443" spans="1:6" x14ac:dyDescent="0.3">
      <c r="A443" s="6">
        <v>442</v>
      </c>
      <c r="B443" s="6" t="s">
        <v>457</v>
      </c>
      <c r="C443" s="6" t="str">
        <f t="shared" si="26"/>
        <v xml:space="preserve">KT16F </v>
      </c>
      <c r="D443" s="6" t="str">
        <f t="shared" si="24"/>
        <v>KT16</v>
      </c>
      <c r="E443" s="6" t="str">
        <f t="shared" si="25"/>
        <v xml:space="preserve">F </v>
      </c>
      <c r="F443" s="6" t="str">
        <f t="shared" si="27"/>
        <v>069782</v>
      </c>
    </row>
    <row r="444" spans="1:6" x14ac:dyDescent="0.3">
      <c r="A444" s="6">
        <v>443</v>
      </c>
      <c r="B444" s="6" t="s">
        <v>458</v>
      </c>
      <c r="C444" s="6" t="str">
        <f t="shared" si="26"/>
        <v xml:space="preserve">KT16F </v>
      </c>
      <c r="D444" s="6" t="str">
        <f t="shared" si="24"/>
        <v>KT16</v>
      </c>
      <c r="E444" s="6" t="str">
        <f t="shared" si="25"/>
        <v xml:space="preserve">F </v>
      </c>
      <c r="F444" s="6" t="str">
        <f t="shared" si="27"/>
        <v>077679</v>
      </c>
    </row>
    <row r="445" spans="1:6" x14ac:dyDescent="0.3">
      <c r="A445" s="6">
        <v>444</v>
      </c>
      <c r="B445" s="6" t="s">
        <v>459</v>
      </c>
      <c r="C445" s="6" t="str">
        <f t="shared" si="26"/>
        <v xml:space="preserve">KT16F </v>
      </c>
      <c r="D445" s="6" t="str">
        <f t="shared" si="24"/>
        <v>KT16</v>
      </c>
      <c r="E445" s="6" t="str">
        <f t="shared" si="25"/>
        <v xml:space="preserve">F </v>
      </c>
      <c r="F445" s="6" t="str">
        <f t="shared" si="27"/>
        <v>077662</v>
      </c>
    </row>
    <row r="446" spans="1:6" x14ac:dyDescent="0.3">
      <c r="A446" s="6">
        <v>445</v>
      </c>
      <c r="B446" s="6" t="s">
        <v>460</v>
      </c>
      <c r="C446" s="6" t="str">
        <f t="shared" si="26"/>
        <v xml:space="preserve">KT16L </v>
      </c>
      <c r="D446" s="6" t="str">
        <f t="shared" ref="D446:D474" si="28">LEFT(C446,4)</f>
        <v>KT16</v>
      </c>
      <c r="E446" s="6" t="str">
        <f t="shared" ref="E446:E474" si="29">RIGHT(C446,2)</f>
        <v xml:space="preserve">L </v>
      </c>
      <c r="F446" s="6" t="str">
        <f t="shared" si="27"/>
        <v>101392</v>
      </c>
    </row>
    <row r="447" spans="1:6" x14ac:dyDescent="0.3">
      <c r="A447" s="6">
        <v>446</v>
      </c>
      <c r="B447" s="6" t="s">
        <v>461</v>
      </c>
      <c r="C447" s="6" t="str">
        <f t="shared" si="26"/>
        <v xml:space="preserve">KT16F </v>
      </c>
      <c r="D447" s="6" t="str">
        <f t="shared" si="28"/>
        <v>KT16</v>
      </c>
      <c r="E447" s="6" t="str">
        <f t="shared" si="29"/>
        <v xml:space="preserve">F </v>
      </c>
      <c r="F447" s="6" t="str">
        <f t="shared" si="27"/>
        <v>069783</v>
      </c>
    </row>
    <row r="448" spans="1:6" x14ac:dyDescent="0.3">
      <c r="A448" s="6">
        <v>447</v>
      </c>
      <c r="B448" s="6" t="s">
        <v>462</v>
      </c>
      <c r="C448" s="6" t="str">
        <f t="shared" si="26"/>
        <v xml:space="preserve">KT16A </v>
      </c>
      <c r="D448" s="6" t="str">
        <f t="shared" si="28"/>
        <v>KT16</v>
      </c>
      <c r="E448" s="6" t="str">
        <f t="shared" si="29"/>
        <v xml:space="preserve">A </v>
      </c>
      <c r="F448" s="6" t="str">
        <f t="shared" si="27"/>
        <v>030426</v>
      </c>
    </row>
    <row r="449" spans="1:6" x14ac:dyDescent="0.3">
      <c r="A449" s="6">
        <v>448</v>
      </c>
      <c r="B449" s="6" t="s">
        <v>463</v>
      </c>
      <c r="C449" s="6" t="str">
        <f t="shared" si="26"/>
        <v xml:space="preserve">KT16F </v>
      </c>
      <c r="D449" s="6" t="str">
        <f t="shared" si="28"/>
        <v>KT16</v>
      </c>
      <c r="E449" s="6" t="str">
        <f t="shared" si="29"/>
        <v xml:space="preserve">F </v>
      </c>
      <c r="F449" s="6" t="str">
        <f t="shared" si="27"/>
        <v>069788</v>
      </c>
    </row>
    <row r="450" spans="1:6" x14ac:dyDescent="0.3">
      <c r="A450" s="6">
        <v>449</v>
      </c>
      <c r="B450" s="6" t="s">
        <v>464</v>
      </c>
      <c r="C450" s="6" t="str">
        <f t="shared" si="26"/>
        <v xml:space="preserve">KT16F </v>
      </c>
      <c r="D450" s="6" t="str">
        <f t="shared" si="28"/>
        <v>KT16</v>
      </c>
      <c r="E450" s="6" t="str">
        <f t="shared" si="29"/>
        <v xml:space="preserve">F </v>
      </c>
      <c r="F450" s="6" t="str">
        <f t="shared" si="27"/>
        <v>069579</v>
      </c>
    </row>
    <row r="451" spans="1:6" x14ac:dyDescent="0.3">
      <c r="A451" s="6">
        <v>450</v>
      </c>
      <c r="B451" s="6" t="s">
        <v>469</v>
      </c>
      <c r="C451" s="6" t="str">
        <f t="shared" ref="C451:C474" si="30">LEFT(B451,6)</f>
        <v xml:space="preserve">KT24L </v>
      </c>
      <c r="D451" s="6" t="str">
        <f t="shared" si="28"/>
        <v>KT24</v>
      </c>
      <c r="E451" s="6" t="str">
        <f t="shared" si="29"/>
        <v xml:space="preserve">L </v>
      </c>
      <c r="F451" s="6" t="str">
        <f t="shared" ref="F451:F474" si="31">RIGHT(B451,6)</f>
        <v>100292</v>
      </c>
    </row>
    <row r="452" spans="1:6" x14ac:dyDescent="0.3">
      <c r="A452" s="6">
        <v>451</v>
      </c>
      <c r="B452" s="6" t="s">
        <v>470</v>
      </c>
      <c r="C452" s="6" t="str">
        <f t="shared" si="30"/>
        <v xml:space="preserve">KT24L </v>
      </c>
      <c r="D452" s="6" t="str">
        <f t="shared" si="28"/>
        <v>KT24</v>
      </c>
      <c r="E452" s="6" t="str">
        <f t="shared" si="29"/>
        <v xml:space="preserve">L </v>
      </c>
      <c r="F452" s="6" t="str">
        <f t="shared" si="31"/>
        <v>095247</v>
      </c>
    </row>
    <row r="453" spans="1:6" x14ac:dyDescent="0.3">
      <c r="A453" s="6">
        <v>452</v>
      </c>
      <c r="B453" s="6" t="s">
        <v>471</v>
      </c>
      <c r="C453" s="6" t="str">
        <f t="shared" si="30"/>
        <v xml:space="preserve">KT24L </v>
      </c>
      <c r="D453" s="6" t="str">
        <f t="shared" si="28"/>
        <v>KT24</v>
      </c>
      <c r="E453" s="6" t="str">
        <f t="shared" si="29"/>
        <v xml:space="preserve">L </v>
      </c>
      <c r="F453" s="6" t="str">
        <f t="shared" si="31"/>
        <v>095325</v>
      </c>
    </row>
    <row r="454" spans="1:6" x14ac:dyDescent="0.3">
      <c r="A454" s="6">
        <v>453</v>
      </c>
      <c r="B454" s="6" t="s">
        <v>472</v>
      </c>
      <c r="C454" s="6" t="str">
        <f t="shared" si="30"/>
        <v xml:space="preserve">KT24L </v>
      </c>
      <c r="D454" s="6" t="str">
        <f t="shared" si="28"/>
        <v>KT24</v>
      </c>
      <c r="E454" s="6" t="str">
        <f t="shared" si="29"/>
        <v xml:space="preserve">L </v>
      </c>
      <c r="F454" s="6" t="str">
        <f t="shared" si="31"/>
        <v>095248</v>
      </c>
    </row>
    <row r="455" spans="1:6" x14ac:dyDescent="0.3">
      <c r="A455" s="6">
        <v>454</v>
      </c>
      <c r="B455" s="6" t="s">
        <v>473</v>
      </c>
      <c r="C455" s="6" t="str">
        <f t="shared" si="30"/>
        <v xml:space="preserve">KT24L </v>
      </c>
      <c r="D455" s="6" t="str">
        <f t="shared" si="28"/>
        <v>KT24</v>
      </c>
      <c r="E455" s="6" t="str">
        <f t="shared" si="29"/>
        <v xml:space="preserve">L </v>
      </c>
      <c r="F455" s="6" t="str">
        <f t="shared" si="31"/>
        <v>100880</v>
      </c>
    </row>
    <row r="456" spans="1:6" x14ac:dyDescent="0.3">
      <c r="A456" s="6">
        <v>455</v>
      </c>
      <c r="B456" s="6" t="s">
        <v>474</v>
      </c>
      <c r="C456" s="6" t="str">
        <f t="shared" si="30"/>
        <v xml:space="preserve">KT24L </v>
      </c>
      <c r="D456" s="6" t="str">
        <f t="shared" si="28"/>
        <v>KT24</v>
      </c>
      <c r="E456" s="6" t="str">
        <f t="shared" si="29"/>
        <v xml:space="preserve">L </v>
      </c>
      <c r="F456" s="6" t="str">
        <f t="shared" si="31"/>
        <v>100891</v>
      </c>
    </row>
    <row r="457" spans="1:6" x14ac:dyDescent="0.3">
      <c r="A457" s="6">
        <v>456</v>
      </c>
      <c r="B457" s="6" t="s">
        <v>475</v>
      </c>
      <c r="C457" s="6" t="str">
        <f t="shared" si="30"/>
        <v xml:space="preserve">KT24L </v>
      </c>
      <c r="D457" s="6" t="str">
        <f t="shared" si="28"/>
        <v>KT24</v>
      </c>
      <c r="E457" s="6" t="str">
        <f t="shared" si="29"/>
        <v xml:space="preserve">L </v>
      </c>
      <c r="F457" s="6" t="str">
        <f t="shared" si="31"/>
        <v>100882</v>
      </c>
    </row>
    <row r="458" spans="1:6" x14ac:dyDescent="0.3">
      <c r="A458" s="6">
        <v>457</v>
      </c>
      <c r="B458" s="6" t="s">
        <v>476</v>
      </c>
      <c r="C458" s="6" t="str">
        <f t="shared" si="30"/>
        <v xml:space="preserve">KT24L </v>
      </c>
      <c r="D458" s="6" t="str">
        <f t="shared" si="28"/>
        <v>KT24</v>
      </c>
      <c r="E458" s="6" t="str">
        <f t="shared" si="29"/>
        <v xml:space="preserve">L </v>
      </c>
      <c r="F458" s="6" t="str">
        <f t="shared" si="31"/>
        <v>095324</v>
      </c>
    </row>
    <row r="459" spans="1:6" x14ac:dyDescent="0.3">
      <c r="A459" s="6">
        <v>458</v>
      </c>
      <c r="B459" s="6" t="s">
        <v>477</v>
      </c>
      <c r="C459" s="6" t="str">
        <f t="shared" si="30"/>
        <v xml:space="preserve">KT24L </v>
      </c>
      <c r="D459" s="6" t="str">
        <f t="shared" si="28"/>
        <v>KT24</v>
      </c>
      <c r="E459" s="6" t="str">
        <f t="shared" si="29"/>
        <v xml:space="preserve">L </v>
      </c>
      <c r="F459" s="6" t="str">
        <f t="shared" si="31"/>
        <v>100892</v>
      </c>
    </row>
    <row r="460" spans="1:6" x14ac:dyDescent="0.3">
      <c r="A460" s="6">
        <v>459</v>
      </c>
      <c r="B460" s="6" t="s">
        <v>478</v>
      </c>
      <c r="C460" s="6" t="str">
        <f t="shared" si="30"/>
        <v xml:space="preserve">KT24A </v>
      </c>
      <c r="D460" s="6" t="str">
        <f t="shared" si="28"/>
        <v>KT24</v>
      </c>
      <c r="E460" s="6" t="str">
        <f t="shared" si="29"/>
        <v xml:space="preserve">A </v>
      </c>
      <c r="F460" s="6" t="str">
        <f t="shared" si="31"/>
        <v>020705</v>
      </c>
    </row>
    <row r="461" spans="1:6" x14ac:dyDescent="0.3">
      <c r="A461" s="6">
        <v>460</v>
      </c>
      <c r="B461" s="6" t="s">
        <v>479</v>
      </c>
      <c r="C461" s="6" t="str">
        <f t="shared" si="30"/>
        <v xml:space="preserve">KT12F </v>
      </c>
      <c r="D461" s="6" t="str">
        <f t="shared" si="28"/>
        <v>KT12</v>
      </c>
      <c r="E461" s="6" t="str">
        <f t="shared" si="29"/>
        <v xml:space="preserve">F </v>
      </c>
      <c r="F461" s="6" t="str">
        <f t="shared" si="31"/>
        <v>148015</v>
      </c>
    </row>
    <row r="462" spans="1:6" x14ac:dyDescent="0.3">
      <c r="A462" s="6">
        <v>461</v>
      </c>
      <c r="B462" s="6" t="s">
        <v>480</v>
      </c>
      <c r="C462" s="6" t="str">
        <f t="shared" si="30"/>
        <v xml:space="preserve">KT32L </v>
      </c>
      <c r="D462" s="6" t="str">
        <f t="shared" si="28"/>
        <v>KT32</v>
      </c>
      <c r="E462" s="6" t="str">
        <f t="shared" si="29"/>
        <v xml:space="preserve">L </v>
      </c>
      <c r="F462" s="6" t="str">
        <f t="shared" si="31"/>
        <v>041656</v>
      </c>
    </row>
    <row r="463" spans="1:6" x14ac:dyDescent="0.3">
      <c r="A463" s="6">
        <v>462</v>
      </c>
      <c r="B463" s="6" t="s">
        <v>481</v>
      </c>
      <c r="C463" s="6" t="str">
        <f t="shared" si="30"/>
        <v xml:space="preserve">KT32L </v>
      </c>
      <c r="D463" s="6" t="str">
        <f t="shared" si="28"/>
        <v>KT32</v>
      </c>
      <c r="E463" s="6" t="str">
        <f t="shared" si="29"/>
        <v xml:space="preserve">L </v>
      </c>
      <c r="F463" s="6" t="str">
        <f t="shared" si="31"/>
        <v>041635</v>
      </c>
    </row>
    <row r="464" spans="1:6" x14ac:dyDescent="0.3">
      <c r="A464" s="6">
        <v>463</v>
      </c>
      <c r="B464" s="6" t="s">
        <v>482</v>
      </c>
      <c r="C464" s="6" t="str">
        <f t="shared" si="30"/>
        <v xml:space="preserve">KT32L </v>
      </c>
      <c r="D464" s="6" t="str">
        <f t="shared" si="28"/>
        <v>KT32</v>
      </c>
      <c r="E464" s="6" t="str">
        <f t="shared" si="29"/>
        <v xml:space="preserve">L </v>
      </c>
      <c r="F464" s="6" t="str">
        <f t="shared" si="31"/>
        <v>039627</v>
      </c>
    </row>
    <row r="465" spans="1:6" x14ac:dyDescent="0.3">
      <c r="A465" s="6">
        <v>464</v>
      </c>
      <c r="B465" s="6" t="s">
        <v>483</v>
      </c>
      <c r="C465" s="6" t="str">
        <f t="shared" si="30"/>
        <v xml:space="preserve">KT32L </v>
      </c>
      <c r="D465" s="6" t="str">
        <f t="shared" si="28"/>
        <v>KT32</v>
      </c>
      <c r="E465" s="6" t="str">
        <f t="shared" si="29"/>
        <v xml:space="preserve">L </v>
      </c>
      <c r="F465" s="6" t="str">
        <f t="shared" si="31"/>
        <v>039626</v>
      </c>
    </row>
    <row r="466" spans="1:6" x14ac:dyDescent="0.3">
      <c r="A466" s="6">
        <v>465</v>
      </c>
      <c r="B466" s="6" t="s">
        <v>484</v>
      </c>
      <c r="C466" s="6" t="str">
        <f t="shared" si="30"/>
        <v xml:space="preserve">KT32L </v>
      </c>
      <c r="D466" s="6" t="str">
        <f t="shared" si="28"/>
        <v>KT32</v>
      </c>
      <c r="E466" s="6" t="str">
        <f t="shared" si="29"/>
        <v xml:space="preserve">L </v>
      </c>
      <c r="F466" s="6" t="str">
        <f t="shared" si="31"/>
        <v>039628</v>
      </c>
    </row>
    <row r="467" spans="1:6" x14ac:dyDescent="0.3">
      <c r="A467" s="6">
        <v>466</v>
      </c>
      <c r="B467" s="6" t="s">
        <v>485</v>
      </c>
      <c r="C467" s="6" t="str">
        <f t="shared" si="30"/>
        <v xml:space="preserve">KT44L </v>
      </c>
      <c r="D467" s="6" t="str">
        <f t="shared" si="28"/>
        <v>KT44</v>
      </c>
      <c r="E467" s="6" t="str">
        <f t="shared" si="29"/>
        <v xml:space="preserve">L </v>
      </c>
      <c r="F467" s="6" t="str">
        <f t="shared" si="31"/>
        <v>030200</v>
      </c>
    </row>
    <row r="468" spans="1:6" x14ac:dyDescent="0.3">
      <c r="A468" s="6">
        <v>467</v>
      </c>
      <c r="B468" s="6" t="s">
        <v>486</v>
      </c>
      <c r="C468" s="6" t="str">
        <f t="shared" si="30"/>
        <v xml:space="preserve">KT44L </v>
      </c>
      <c r="D468" s="6" t="str">
        <f t="shared" si="28"/>
        <v>KT44</v>
      </c>
      <c r="E468" s="6" t="str">
        <f t="shared" si="29"/>
        <v xml:space="preserve">L </v>
      </c>
      <c r="F468" s="6" t="str">
        <f t="shared" si="31"/>
        <v>028635</v>
      </c>
    </row>
    <row r="469" spans="1:6" x14ac:dyDescent="0.3">
      <c r="A469" s="6">
        <v>468</v>
      </c>
      <c r="B469" s="6" t="s">
        <v>487</v>
      </c>
      <c r="C469" s="6" t="str">
        <f t="shared" si="30"/>
        <v xml:space="preserve">KT44L </v>
      </c>
      <c r="D469" s="6" t="str">
        <f t="shared" si="28"/>
        <v>KT44</v>
      </c>
      <c r="E469" s="6" t="str">
        <f t="shared" si="29"/>
        <v xml:space="preserve">L </v>
      </c>
      <c r="F469" s="6" t="str">
        <f t="shared" si="31"/>
        <v>024890</v>
      </c>
    </row>
    <row r="470" spans="1:6" x14ac:dyDescent="0.3">
      <c r="A470" s="6">
        <v>469</v>
      </c>
      <c r="B470" s="6" t="s">
        <v>488</v>
      </c>
      <c r="C470" s="6" t="str">
        <f t="shared" si="30"/>
        <v xml:space="preserve">KT44L </v>
      </c>
      <c r="D470" s="6" t="str">
        <f t="shared" si="28"/>
        <v>KT44</v>
      </c>
      <c r="E470" s="6" t="str">
        <f t="shared" si="29"/>
        <v xml:space="preserve">L </v>
      </c>
      <c r="F470" s="6" t="str">
        <f t="shared" si="31"/>
        <v>028634</v>
      </c>
    </row>
    <row r="471" spans="1:6" x14ac:dyDescent="0.3">
      <c r="A471" s="6">
        <v>470</v>
      </c>
      <c r="B471" s="6" t="s">
        <v>492</v>
      </c>
      <c r="C471" s="6" t="str">
        <f t="shared" si="30"/>
        <v xml:space="preserve">KT44L </v>
      </c>
      <c r="D471" s="6" t="str">
        <f t="shared" si="28"/>
        <v>KT44</v>
      </c>
      <c r="E471" s="6" t="str">
        <f t="shared" si="29"/>
        <v xml:space="preserve">L </v>
      </c>
      <c r="F471" s="6" t="str">
        <f t="shared" si="31"/>
        <v>030228</v>
      </c>
    </row>
    <row r="472" spans="1:6" x14ac:dyDescent="0.3">
      <c r="A472" s="6">
        <v>471</v>
      </c>
      <c r="B472" s="6" t="s">
        <v>489</v>
      </c>
      <c r="C472" s="6" t="str">
        <f t="shared" si="30"/>
        <v xml:space="preserve">KT56L </v>
      </c>
      <c r="D472" s="6" t="str">
        <f t="shared" si="28"/>
        <v>KT56</v>
      </c>
      <c r="E472" s="6" t="str">
        <f t="shared" si="29"/>
        <v xml:space="preserve">L </v>
      </c>
      <c r="F472" s="6" t="str">
        <f t="shared" si="31"/>
        <v>013893</v>
      </c>
    </row>
    <row r="473" spans="1:6" x14ac:dyDescent="0.3">
      <c r="A473" s="6">
        <v>472</v>
      </c>
      <c r="B473" s="6" t="s">
        <v>490</v>
      </c>
      <c r="C473" s="6" t="str">
        <f t="shared" si="30"/>
        <v xml:space="preserve">KT88L </v>
      </c>
      <c r="D473" s="6" t="str">
        <f t="shared" si="28"/>
        <v>KT88</v>
      </c>
      <c r="E473" s="6" t="str">
        <f t="shared" si="29"/>
        <v xml:space="preserve">L </v>
      </c>
      <c r="F473" s="6" t="str">
        <f t="shared" si="31"/>
        <v>001643</v>
      </c>
    </row>
    <row r="474" spans="1:6" x14ac:dyDescent="0.3">
      <c r="A474" s="6">
        <v>473</v>
      </c>
      <c r="B474" s="6" t="s">
        <v>491</v>
      </c>
      <c r="C474" s="6" t="str">
        <f t="shared" si="30"/>
        <v xml:space="preserve">KT88L </v>
      </c>
      <c r="D474" s="6" t="str">
        <f t="shared" si="28"/>
        <v>KT88</v>
      </c>
      <c r="E474" s="6" t="str">
        <f t="shared" si="29"/>
        <v xml:space="preserve">L </v>
      </c>
      <c r="F474" s="6" t="str">
        <f t="shared" si="31"/>
        <v>001649</v>
      </c>
    </row>
    <row r="475" spans="1:6" x14ac:dyDescent="0.3">
      <c r="A475" s="3"/>
    </row>
    <row r="476" spans="1:6" x14ac:dyDescent="0.3">
      <c r="A476" s="3"/>
    </row>
  </sheetData>
  <mergeCells count="1">
    <mergeCell ref="L1:P1"/>
  </mergeCells>
  <conditionalFormatting sqref="B3:B380">
    <cfRule type="duplicateValues" dxfId="151" priority="29"/>
  </conditionalFormatting>
  <conditionalFormatting sqref="B2">
    <cfRule type="duplicateValues" dxfId="150" priority="28"/>
  </conditionalFormatting>
  <conditionalFormatting sqref="B2:B380">
    <cfRule type="duplicateValues" dxfId="149" priority="27"/>
  </conditionalFormatting>
  <conditionalFormatting sqref="B416:B432 B381:B414">
    <cfRule type="duplicateValues" dxfId="148" priority="26"/>
  </conditionalFormatting>
  <conditionalFormatting sqref="B433">
    <cfRule type="duplicateValues" dxfId="147" priority="25"/>
  </conditionalFormatting>
  <conditionalFormatting sqref="B434">
    <cfRule type="duplicateValues" dxfId="146" priority="24"/>
  </conditionalFormatting>
  <conditionalFormatting sqref="B435">
    <cfRule type="duplicateValues" dxfId="145" priority="23"/>
  </conditionalFormatting>
  <conditionalFormatting sqref="B381:B435">
    <cfRule type="duplicateValues" dxfId="144" priority="22"/>
  </conditionalFormatting>
  <conditionalFormatting sqref="B381:B435">
    <cfRule type="duplicateValues" dxfId="143" priority="21"/>
  </conditionalFormatting>
  <conditionalFormatting sqref="B381:B435">
    <cfRule type="duplicateValues" dxfId="142" priority="20"/>
  </conditionalFormatting>
  <conditionalFormatting sqref="B436:B450">
    <cfRule type="duplicateValues" dxfId="141" priority="19"/>
  </conditionalFormatting>
  <conditionalFormatting sqref="B436:B450">
    <cfRule type="duplicateValues" dxfId="140" priority="18"/>
  </conditionalFormatting>
  <conditionalFormatting sqref="B436:B450">
    <cfRule type="duplicateValues" dxfId="139" priority="17"/>
  </conditionalFormatting>
  <conditionalFormatting sqref="B451:B461">
    <cfRule type="duplicateValues" dxfId="138" priority="16"/>
  </conditionalFormatting>
  <conditionalFormatting sqref="B451:B461">
    <cfRule type="duplicateValues" dxfId="137" priority="15"/>
  </conditionalFormatting>
  <conditionalFormatting sqref="B451:B461">
    <cfRule type="duplicateValues" dxfId="136" priority="14"/>
  </conditionalFormatting>
  <conditionalFormatting sqref="B462:B466">
    <cfRule type="duplicateValues" dxfId="135" priority="13"/>
  </conditionalFormatting>
  <conditionalFormatting sqref="B462:B466">
    <cfRule type="duplicateValues" dxfId="134" priority="12"/>
  </conditionalFormatting>
  <conditionalFormatting sqref="B462:B466">
    <cfRule type="duplicateValues" dxfId="133" priority="11"/>
  </conditionalFormatting>
  <conditionalFormatting sqref="B467:B471">
    <cfRule type="duplicateValues" dxfId="132" priority="10"/>
  </conditionalFormatting>
  <conditionalFormatting sqref="B467:B471">
    <cfRule type="duplicateValues" dxfId="131" priority="9"/>
  </conditionalFormatting>
  <conditionalFormatting sqref="B467:B471">
    <cfRule type="duplicateValues" dxfId="130" priority="8"/>
  </conditionalFormatting>
  <conditionalFormatting sqref="B472">
    <cfRule type="duplicateValues" dxfId="129" priority="7"/>
  </conditionalFormatting>
  <conditionalFormatting sqref="B472">
    <cfRule type="duplicateValues" dxfId="128" priority="6"/>
  </conditionalFormatting>
  <conditionalFormatting sqref="B472">
    <cfRule type="duplicateValues" dxfId="127" priority="5"/>
  </conditionalFormatting>
  <conditionalFormatting sqref="B473:B474">
    <cfRule type="duplicateValues" dxfId="126" priority="4"/>
  </conditionalFormatting>
  <conditionalFormatting sqref="B473:B474">
    <cfRule type="duplicateValues" dxfId="125" priority="3"/>
  </conditionalFormatting>
  <conditionalFormatting sqref="B473:B474">
    <cfRule type="duplicateValues" dxfId="124" priority="2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1"/>
  <sheetViews>
    <sheetView workbookViewId="0">
      <selection activeCell="K1" sqref="K1:M2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8" width="12.21875" customWidth="1"/>
    <col min="9" max="9" width="10.88671875" customWidth="1"/>
    <col min="10" max="10" width="13.109375" customWidth="1"/>
    <col min="11" max="13" width="10.33203125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41"/>
      <c r="O1" s="41"/>
      <c r="P1" s="41"/>
      <c r="Q1" s="41"/>
      <c r="R1" s="4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43"/>
      <c r="O2" s="43"/>
      <c r="P2" s="43"/>
      <c r="Q2" s="43"/>
      <c r="R2" s="44"/>
    </row>
    <row r="3" spans="1:23" ht="28.8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43"/>
      <c r="O3" s="43"/>
      <c r="P3" s="43"/>
      <c r="Q3" s="43"/>
      <c r="R3" s="44"/>
    </row>
    <row r="4" spans="1:23" x14ac:dyDescent="0.3">
      <c r="A4" s="18">
        <v>1</v>
      </c>
      <c r="B4" s="7">
        <v>44812</v>
      </c>
      <c r="C4" s="26">
        <v>0.83194444444444438</v>
      </c>
      <c r="D4" s="6" t="s">
        <v>14</v>
      </c>
      <c r="E4" s="17"/>
      <c r="F4" s="17"/>
      <c r="G4" s="17"/>
      <c r="H4" s="9"/>
      <c r="I4" s="17"/>
      <c r="J4" s="17"/>
      <c r="K4" s="17"/>
      <c r="L4" s="17"/>
      <c r="M4" s="17"/>
      <c r="N4" s="17"/>
      <c r="O4" s="17"/>
      <c r="P4" s="17"/>
      <c r="Q4" s="17"/>
      <c r="R4" s="24"/>
    </row>
    <row r="5" spans="1:23" x14ac:dyDescent="0.3">
      <c r="A5" s="18">
        <v>2</v>
      </c>
      <c r="B5" s="7">
        <v>44812</v>
      </c>
      <c r="C5" s="26">
        <v>0.84444444444444444</v>
      </c>
      <c r="D5" s="6" t="s">
        <v>15</v>
      </c>
      <c r="E5" s="17"/>
      <c r="F5" s="17"/>
      <c r="G5" s="17"/>
      <c r="H5" s="9"/>
      <c r="I5" s="17"/>
      <c r="J5" s="17"/>
      <c r="K5" s="17"/>
      <c r="L5" s="17"/>
      <c r="M5" s="17"/>
      <c r="N5" s="17"/>
      <c r="O5" s="17"/>
      <c r="P5" s="17"/>
      <c r="Q5" s="17"/>
      <c r="R5" s="24"/>
    </row>
    <row r="6" spans="1:23" x14ac:dyDescent="0.3">
      <c r="A6" s="18">
        <v>3</v>
      </c>
      <c r="B6" s="7">
        <v>44812</v>
      </c>
      <c r="C6" s="26">
        <v>0.93194444444444446</v>
      </c>
      <c r="D6" s="6" t="s">
        <v>17</v>
      </c>
      <c r="E6" s="17"/>
      <c r="F6" s="17"/>
      <c r="G6" s="17"/>
      <c r="H6" s="9"/>
      <c r="I6" s="17"/>
      <c r="J6" s="17"/>
      <c r="K6" s="17"/>
      <c r="L6" s="17"/>
      <c r="M6" s="17"/>
      <c r="N6" s="17"/>
      <c r="O6" s="17"/>
      <c r="P6" s="17"/>
      <c r="Q6" s="17"/>
      <c r="R6" s="24"/>
    </row>
    <row r="7" spans="1:23" x14ac:dyDescent="0.3">
      <c r="A7" s="18">
        <v>4</v>
      </c>
      <c r="B7" s="7">
        <v>44812</v>
      </c>
      <c r="C7" s="26">
        <v>0.9472222222222223</v>
      </c>
      <c r="D7" s="6" t="s">
        <v>18</v>
      </c>
      <c r="E7" s="17"/>
      <c r="F7" s="17"/>
      <c r="G7" s="17"/>
      <c r="H7" s="9"/>
      <c r="I7" s="17"/>
      <c r="J7" s="17"/>
      <c r="K7" s="17"/>
      <c r="L7" s="17"/>
      <c r="M7" s="17"/>
      <c r="N7" s="17"/>
      <c r="O7" s="17"/>
      <c r="P7" s="17"/>
      <c r="Q7" s="17"/>
      <c r="R7" s="24"/>
    </row>
    <row r="8" spans="1:23" x14ac:dyDescent="0.3">
      <c r="A8" s="18">
        <v>5</v>
      </c>
      <c r="B8" s="7">
        <v>44812</v>
      </c>
      <c r="C8" s="26">
        <v>0.9590277777777777</v>
      </c>
      <c r="D8" s="6" t="s">
        <v>19</v>
      </c>
      <c r="E8" s="17"/>
      <c r="F8" s="17"/>
      <c r="G8" s="17"/>
      <c r="H8" s="9"/>
      <c r="I8" s="17"/>
      <c r="J8" s="17"/>
      <c r="K8" s="17"/>
      <c r="L8" s="17"/>
      <c r="M8" s="17"/>
      <c r="N8" s="17"/>
      <c r="O8" s="17"/>
      <c r="P8" s="17"/>
      <c r="Q8" s="17"/>
      <c r="R8" s="24"/>
    </row>
    <row r="9" spans="1:23" x14ac:dyDescent="0.3">
      <c r="A9" s="18">
        <v>6</v>
      </c>
      <c r="B9" s="7">
        <v>44812</v>
      </c>
      <c r="C9" s="26">
        <v>0.96666666666666667</v>
      </c>
      <c r="D9" s="6" t="s">
        <v>20</v>
      </c>
      <c r="E9" s="17"/>
      <c r="F9" s="17"/>
      <c r="G9" s="17"/>
      <c r="H9" s="9"/>
      <c r="I9" s="17"/>
      <c r="J9" s="17"/>
      <c r="K9" s="17"/>
      <c r="L9" s="17"/>
      <c r="M9" s="17"/>
      <c r="N9" s="17"/>
      <c r="O9" s="17"/>
      <c r="P9" s="17"/>
      <c r="Q9" s="17"/>
      <c r="R9" s="24"/>
    </row>
    <row r="10" spans="1:23" x14ac:dyDescent="0.3">
      <c r="A10" s="18">
        <v>7</v>
      </c>
      <c r="B10" s="7">
        <v>44812</v>
      </c>
      <c r="C10" s="26">
        <v>0.97361111111111109</v>
      </c>
      <c r="D10" s="6" t="s">
        <v>21</v>
      </c>
      <c r="E10" s="17"/>
      <c r="F10" s="17"/>
      <c r="G10" s="17"/>
      <c r="H10" s="9"/>
      <c r="I10" s="17"/>
      <c r="J10" s="17"/>
      <c r="K10" s="17"/>
      <c r="L10" s="17"/>
      <c r="M10" s="17"/>
      <c r="N10" s="17"/>
      <c r="O10" s="17"/>
      <c r="P10" s="17"/>
      <c r="Q10" s="17"/>
      <c r="R10" s="24"/>
    </row>
    <row r="11" spans="1:23" ht="15" thickBot="1" x14ac:dyDescent="0.35">
      <c r="A11" s="19">
        <v>8</v>
      </c>
      <c r="B11" s="10">
        <v>44812</v>
      </c>
      <c r="C11" s="27">
        <v>0.98402777777777783</v>
      </c>
      <c r="D11" s="12" t="s">
        <v>22</v>
      </c>
      <c r="E11" s="20"/>
      <c r="F11" s="20"/>
      <c r="G11" s="20"/>
      <c r="H11" s="13"/>
      <c r="I11" s="20"/>
      <c r="J11" s="20"/>
      <c r="K11" s="20"/>
      <c r="L11" s="20"/>
      <c r="M11" s="20"/>
      <c r="N11" s="20"/>
      <c r="O11" s="20"/>
      <c r="P11" s="20"/>
      <c r="Q11" s="20"/>
      <c r="R11" s="25"/>
    </row>
  </sheetData>
  <autoFilter ref="A3:H11" xr:uid="{00000000-0001-0000-0100-000000000000}"/>
  <mergeCells count="5">
    <mergeCell ref="J1:J2"/>
    <mergeCell ref="K1:M2"/>
    <mergeCell ref="N1:R3"/>
    <mergeCell ref="I3:M3"/>
    <mergeCell ref="A1:I2"/>
  </mergeCells>
  <conditionalFormatting sqref="H12:H381">
    <cfRule type="duplicateValues" dxfId="123" priority="6"/>
  </conditionalFormatting>
  <conditionalFormatting sqref="H382">
    <cfRule type="duplicateValues" dxfId="122" priority="5"/>
  </conditionalFormatting>
  <conditionalFormatting sqref="J1">
    <cfRule type="duplicateValues" dxfId="121" priority="4"/>
  </conditionalFormatting>
  <conditionalFormatting sqref="J1">
    <cfRule type="duplicateValues" dxfId="120" priority="3"/>
  </conditionalFormatting>
  <conditionalFormatting sqref="K1">
    <cfRule type="duplicateValues" dxfId="119" priority="2"/>
  </conditionalFormatting>
  <conditionalFormatting sqref="K1:M2">
    <cfRule type="duplicateValues" dxfId="118" priority="1"/>
  </conditionalFormatting>
  <dataValidations count="1">
    <dataValidation type="list" allowBlank="1" showInputMessage="1" showErrorMessage="1" sqref="H4:H11" xr:uid="{3F23C8F4-9CE3-4E98-8BBA-1366E469341A}">
      <formula1>$T$1:$W$1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83"/>
  <sheetViews>
    <sheetView tabSelected="1" workbookViewId="0">
      <pane ySplit="3" topLeftCell="A4" activePane="bottomLeft" state="frozen"/>
      <selection pane="bottomLeft" activeCell="E8" sqref="E8"/>
    </sheetView>
  </sheetViews>
  <sheetFormatPr defaultRowHeight="14.4" x14ac:dyDescent="0.3"/>
  <cols>
    <col min="1" max="1" width="7" style="3" customWidth="1"/>
    <col min="2" max="3" width="13.33203125" style="4" customWidth="1"/>
    <col min="4" max="4" width="17.109375" style="4" customWidth="1"/>
    <col min="5" max="5" width="14" customWidth="1"/>
    <col min="6" max="7" width="14" style="4" customWidth="1"/>
    <col min="8" max="8" width="12.21875" style="5" customWidth="1"/>
    <col min="9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 t="s">
        <v>27</v>
      </c>
      <c r="L1" s="39"/>
      <c r="M1" s="39"/>
      <c r="N1" s="54"/>
      <c r="O1" s="55"/>
      <c r="P1" s="55"/>
      <c r="Q1" s="55"/>
      <c r="R1" s="56"/>
      <c r="T1" s="4" t="s">
        <v>570</v>
      </c>
      <c r="U1" s="4" t="s">
        <v>571</v>
      </c>
      <c r="V1" s="4" t="s">
        <v>572</v>
      </c>
      <c r="W1" s="4" t="s">
        <v>573</v>
      </c>
    </row>
    <row r="2" spans="1:23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57"/>
      <c r="O2" s="58"/>
      <c r="P2" s="58"/>
      <c r="Q2" s="58"/>
      <c r="R2" s="59"/>
    </row>
    <row r="3" spans="1:23" ht="28.8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60"/>
      <c r="O3" s="61"/>
      <c r="P3" s="61"/>
      <c r="Q3" s="61"/>
      <c r="R3" s="62"/>
    </row>
    <row r="4" spans="1:23" ht="18" customHeight="1" x14ac:dyDescent="0.3">
      <c r="A4" s="18">
        <v>1</v>
      </c>
      <c r="B4" s="7">
        <f t="shared" ref="B4:B67" ca="1" si="0">IF(D4 &lt;&gt;"", IF(B4 ="", NOW(), B4), "")</f>
        <v>44850.417040740744</v>
      </c>
      <c r="C4" s="8">
        <f t="shared" ref="C4:C67" ca="1" si="1">IF(D4 &lt;&gt;"", IF(C4 ="", NOW(), C4), "")</f>
        <v>44850.417040740744</v>
      </c>
      <c r="D4" s="6" t="s">
        <v>14</v>
      </c>
      <c r="E4" s="7">
        <v>44854</v>
      </c>
      <c r="F4" s="7">
        <f t="shared" ref="F4:F67" si="2">EDATE(E4,3)-0</f>
        <v>44946</v>
      </c>
      <c r="G4" s="9">
        <f t="shared" ref="G4:G67" ca="1" si="3">E4-TODAY()</f>
        <v>-741</v>
      </c>
      <c r="H4" s="9"/>
      <c r="I4" s="63"/>
      <c r="J4" s="64"/>
      <c r="K4" s="64"/>
      <c r="L4" s="64"/>
      <c r="M4" s="65"/>
      <c r="N4" s="63"/>
      <c r="O4" s="64"/>
      <c r="P4" s="64"/>
      <c r="Q4" s="64"/>
      <c r="R4" s="66"/>
    </row>
    <row r="5" spans="1:23" ht="18" customHeight="1" x14ac:dyDescent="0.3">
      <c r="A5" s="18">
        <v>2</v>
      </c>
      <c r="B5" s="7">
        <f t="shared" ca="1" si="0"/>
        <v>44850.417193634261</v>
      </c>
      <c r="C5" s="8">
        <f t="shared" ca="1" si="1"/>
        <v>44850.417193634261</v>
      </c>
      <c r="D5" s="6" t="s">
        <v>17</v>
      </c>
      <c r="E5" s="7">
        <v>44854</v>
      </c>
      <c r="F5" s="7">
        <f t="shared" si="2"/>
        <v>44946</v>
      </c>
      <c r="G5" s="9">
        <f t="shared" ca="1" si="3"/>
        <v>-741</v>
      </c>
      <c r="H5" s="9"/>
      <c r="I5" s="50"/>
      <c r="J5" s="50"/>
      <c r="K5" s="50"/>
      <c r="L5" s="50"/>
      <c r="M5" s="50"/>
      <c r="N5" s="50"/>
      <c r="O5" s="50"/>
      <c r="P5" s="50"/>
      <c r="Q5" s="50"/>
      <c r="R5" s="51"/>
    </row>
    <row r="6" spans="1:23" ht="18" customHeight="1" x14ac:dyDescent="0.3">
      <c r="A6" s="18">
        <v>3</v>
      </c>
      <c r="B6" s="7">
        <f t="shared" ca="1" si="0"/>
        <v>44850.417471990739</v>
      </c>
      <c r="C6" s="8">
        <f t="shared" ca="1" si="1"/>
        <v>44850.417471990739</v>
      </c>
      <c r="D6" s="6" t="s">
        <v>27</v>
      </c>
      <c r="E6" s="7">
        <v>44854</v>
      </c>
      <c r="F6" s="7">
        <f t="shared" si="2"/>
        <v>44946</v>
      </c>
      <c r="G6" s="9">
        <f t="shared" ca="1" si="3"/>
        <v>-741</v>
      </c>
      <c r="H6" s="9"/>
      <c r="I6" s="50"/>
      <c r="J6" s="50"/>
      <c r="K6" s="50"/>
      <c r="L6" s="50"/>
      <c r="M6" s="50"/>
      <c r="N6" s="50"/>
      <c r="O6" s="50"/>
      <c r="P6" s="50"/>
      <c r="Q6" s="50"/>
      <c r="R6" s="51"/>
    </row>
    <row r="7" spans="1:23" ht="18" customHeight="1" x14ac:dyDescent="0.3">
      <c r="A7" s="18">
        <v>4</v>
      </c>
      <c r="B7" s="7">
        <f t="shared" ca="1" si="0"/>
        <v>44850.417501620374</v>
      </c>
      <c r="C7" s="8">
        <f t="shared" ca="1" si="1"/>
        <v>44850.417501620374</v>
      </c>
      <c r="D7" s="6" t="s">
        <v>28</v>
      </c>
      <c r="E7" s="6"/>
      <c r="F7" s="7">
        <f t="shared" si="2"/>
        <v>91</v>
      </c>
      <c r="G7" s="9">
        <f t="shared" ca="1" si="3"/>
        <v>-45595</v>
      </c>
      <c r="H7" s="9"/>
      <c r="I7" s="50"/>
      <c r="J7" s="50"/>
      <c r="K7" s="50"/>
      <c r="L7" s="50"/>
      <c r="M7" s="50"/>
      <c r="N7" s="50"/>
      <c r="O7" s="50"/>
      <c r="P7" s="50"/>
      <c r="Q7" s="50"/>
      <c r="R7" s="51"/>
    </row>
    <row r="8" spans="1:23" ht="18" customHeight="1" x14ac:dyDescent="0.3">
      <c r="A8" s="18">
        <v>5</v>
      </c>
      <c r="B8" s="7">
        <f t="shared" ca="1" si="0"/>
        <v>44850.417527314814</v>
      </c>
      <c r="C8" s="8">
        <f t="shared" ca="1" si="1"/>
        <v>44850.417527314814</v>
      </c>
      <c r="D8" s="6" t="s">
        <v>29</v>
      </c>
      <c r="E8" s="6"/>
      <c r="F8" s="7">
        <f t="shared" si="2"/>
        <v>91</v>
      </c>
      <c r="G8" s="9">
        <f t="shared" ca="1" si="3"/>
        <v>-45595</v>
      </c>
      <c r="H8" s="9"/>
      <c r="I8" s="50"/>
      <c r="J8" s="50"/>
      <c r="K8" s="50"/>
      <c r="L8" s="50"/>
      <c r="M8" s="50"/>
      <c r="N8" s="50"/>
      <c r="O8" s="50"/>
      <c r="P8" s="50"/>
      <c r="Q8" s="50"/>
      <c r="R8" s="51"/>
    </row>
    <row r="9" spans="1:23" ht="18" customHeight="1" x14ac:dyDescent="0.3">
      <c r="A9" s="18">
        <v>6</v>
      </c>
      <c r="B9" s="7">
        <f t="shared" ca="1" si="0"/>
        <v>44850.4175525463</v>
      </c>
      <c r="C9" s="8">
        <f t="shared" ca="1" si="1"/>
        <v>44850.4175525463</v>
      </c>
      <c r="D9" s="6" t="s">
        <v>30</v>
      </c>
      <c r="E9" s="6"/>
      <c r="F9" s="7">
        <f t="shared" si="2"/>
        <v>91</v>
      </c>
      <c r="G9" s="9">
        <f t="shared" ca="1" si="3"/>
        <v>-45595</v>
      </c>
      <c r="H9" s="9"/>
      <c r="I9" s="50"/>
      <c r="J9" s="50"/>
      <c r="K9" s="50"/>
      <c r="L9" s="50"/>
      <c r="M9" s="50"/>
      <c r="N9" s="50"/>
      <c r="O9" s="50"/>
      <c r="P9" s="50"/>
      <c r="Q9" s="50"/>
      <c r="R9" s="51"/>
    </row>
    <row r="10" spans="1:23" ht="18" customHeight="1" x14ac:dyDescent="0.3">
      <c r="A10" s="18">
        <v>7</v>
      </c>
      <c r="B10" s="7">
        <f t="shared" ca="1" si="0"/>
        <v>44850.417574189814</v>
      </c>
      <c r="C10" s="8">
        <f t="shared" ca="1" si="1"/>
        <v>44850.417574189814</v>
      </c>
      <c r="D10" s="6" t="s">
        <v>31</v>
      </c>
      <c r="E10" s="6"/>
      <c r="F10" s="7">
        <f t="shared" si="2"/>
        <v>91</v>
      </c>
      <c r="G10" s="9">
        <f t="shared" ca="1" si="3"/>
        <v>-45595</v>
      </c>
      <c r="H10" s="9"/>
      <c r="I10" s="50"/>
      <c r="J10" s="50"/>
      <c r="K10" s="50"/>
      <c r="L10" s="50"/>
      <c r="M10" s="50"/>
      <c r="N10" s="50"/>
      <c r="O10" s="50"/>
      <c r="P10" s="50"/>
      <c r="Q10" s="50"/>
      <c r="R10" s="51"/>
    </row>
    <row r="11" spans="1:23" ht="18" customHeight="1" x14ac:dyDescent="0.3">
      <c r="A11" s="18">
        <v>8</v>
      </c>
      <c r="B11" s="7">
        <f t="shared" ca="1" si="0"/>
        <v>44850.417592708334</v>
      </c>
      <c r="C11" s="8">
        <f t="shared" ca="1" si="1"/>
        <v>44850.417592708334</v>
      </c>
      <c r="D11" s="6" t="s">
        <v>32</v>
      </c>
      <c r="E11" s="6"/>
      <c r="F11" s="7">
        <f t="shared" si="2"/>
        <v>91</v>
      </c>
      <c r="G11" s="9">
        <f t="shared" ca="1" si="3"/>
        <v>-45595</v>
      </c>
      <c r="H11" s="9"/>
      <c r="I11" s="50"/>
      <c r="J11" s="50"/>
      <c r="K11" s="50"/>
      <c r="L11" s="50"/>
      <c r="M11" s="50"/>
      <c r="N11" s="50"/>
      <c r="O11" s="50"/>
      <c r="P11" s="50"/>
      <c r="Q11" s="50"/>
      <c r="R11" s="51"/>
    </row>
    <row r="12" spans="1:23" ht="18" customHeight="1" x14ac:dyDescent="0.3">
      <c r="A12" s="18">
        <v>9</v>
      </c>
      <c r="B12" s="7">
        <f t="shared" ca="1" si="0"/>
        <v>44850.41761365741</v>
      </c>
      <c r="C12" s="8">
        <f t="shared" ca="1" si="1"/>
        <v>44850.41761365741</v>
      </c>
      <c r="D12" s="6" t="s">
        <v>33</v>
      </c>
      <c r="E12" s="6"/>
      <c r="F12" s="7">
        <f t="shared" si="2"/>
        <v>91</v>
      </c>
      <c r="G12" s="9">
        <f t="shared" ca="1" si="3"/>
        <v>-45595</v>
      </c>
      <c r="H12" s="9"/>
      <c r="I12" s="50"/>
      <c r="J12" s="50"/>
      <c r="K12" s="50"/>
      <c r="L12" s="50"/>
      <c r="M12" s="50"/>
      <c r="N12" s="50"/>
      <c r="O12" s="50"/>
      <c r="P12" s="50"/>
      <c r="Q12" s="50"/>
      <c r="R12" s="51"/>
    </row>
    <row r="13" spans="1:23" ht="18" customHeight="1" x14ac:dyDescent="0.3">
      <c r="A13" s="18">
        <v>10</v>
      </c>
      <c r="B13" s="7">
        <f t="shared" ca="1" si="0"/>
        <v>44850.417632291668</v>
      </c>
      <c r="C13" s="8">
        <f t="shared" ca="1" si="1"/>
        <v>44850.417632291668</v>
      </c>
      <c r="D13" s="6" t="s">
        <v>34</v>
      </c>
      <c r="E13" s="6"/>
      <c r="F13" s="7">
        <f t="shared" si="2"/>
        <v>91</v>
      </c>
      <c r="G13" s="9">
        <f t="shared" ca="1" si="3"/>
        <v>-45595</v>
      </c>
      <c r="H13" s="9"/>
      <c r="I13" s="50"/>
      <c r="J13" s="50"/>
      <c r="K13" s="50"/>
      <c r="L13" s="50"/>
      <c r="M13" s="50"/>
      <c r="N13" s="50"/>
      <c r="O13" s="50"/>
      <c r="P13" s="50"/>
      <c r="Q13" s="50"/>
      <c r="R13" s="51"/>
    </row>
    <row r="14" spans="1:23" ht="18" customHeight="1" x14ac:dyDescent="0.3">
      <c r="A14" s="18">
        <v>11</v>
      </c>
      <c r="B14" s="7">
        <f t="shared" ca="1" si="0"/>
        <v>44850.417659606479</v>
      </c>
      <c r="C14" s="8">
        <f t="shared" ca="1" si="1"/>
        <v>44850.417659606479</v>
      </c>
      <c r="D14" s="6" t="s">
        <v>35</v>
      </c>
      <c r="E14" s="6"/>
      <c r="F14" s="7">
        <f t="shared" si="2"/>
        <v>91</v>
      </c>
      <c r="G14" s="9">
        <f t="shared" ca="1" si="3"/>
        <v>-45595</v>
      </c>
      <c r="H14" s="9"/>
      <c r="I14" s="50"/>
      <c r="J14" s="50"/>
      <c r="K14" s="50"/>
      <c r="L14" s="50"/>
      <c r="M14" s="50"/>
      <c r="N14" s="50"/>
      <c r="O14" s="50"/>
      <c r="P14" s="50"/>
      <c r="Q14" s="50"/>
      <c r="R14" s="51"/>
    </row>
    <row r="15" spans="1:23" ht="18" customHeight="1" x14ac:dyDescent="0.3">
      <c r="A15" s="18">
        <v>12</v>
      </c>
      <c r="B15" s="7">
        <f t="shared" ca="1" si="0"/>
        <v>44850.417680439816</v>
      </c>
      <c r="C15" s="8">
        <f t="shared" ca="1" si="1"/>
        <v>44850.417680439816</v>
      </c>
      <c r="D15" s="6" t="s">
        <v>36</v>
      </c>
      <c r="E15" s="6"/>
      <c r="F15" s="7">
        <f t="shared" si="2"/>
        <v>91</v>
      </c>
      <c r="G15" s="9">
        <f t="shared" ca="1" si="3"/>
        <v>-45595</v>
      </c>
      <c r="H15" s="9"/>
      <c r="I15" s="50"/>
      <c r="J15" s="50"/>
      <c r="K15" s="50"/>
      <c r="L15" s="50"/>
      <c r="M15" s="50"/>
      <c r="N15" s="50"/>
      <c r="O15" s="50"/>
      <c r="P15" s="50"/>
      <c r="Q15" s="50"/>
      <c r="R15" s="51"/>
    </row>
    <row r="16" spans="1:23" ht="18" customHeight="1" x14ac:dyDescent="0.3">
      <c r="A16" s="18">
        <v>13</v>
      </c>
      <c r="B16" s="7">
        <f t="shared" ca="1" si="0"/>
        <v>44850.41770416667</v>
      </c>
      <c r="C16" s="8">
        <f t="shared" ca="1" si="1"/>
        <v>44850.41770416667</v>
      </c>
      <c r="D16" s="6" t="s">
        <v>37</v>
      </c>
      <c r="E16" s="6"/>
      <c r="F16" s="7">
        <f t="shared" si="2"/>
        <v>91</v>
      </c>
      <c r="G16" s="9">
        <f t="shared" ca="1" si="3"/>
        <v>-45595</v>
      </c>
      <c r="H16" s="9"/>
      <c r="I16" s="50"/>
      <c r="J16" s="50"/>
      <c r="K16" s="50"/>
      <c r="L16" s="50"/>
      <c r="M16" s="50"/>
      <c r="N16" s="50"/>
      <c r="O16" s="50"/>
      <c r="P16" s="50"/>
      <c r="Q16" s="50"/>
      <c r="R16" s="51"/>
    </row>
    <row r="17" spans="1:18" ht="18" customHeight="1" x14ac:dyDescent="0.3">
      <c r="A17" s="18">
        <v>14</v>
      </c>
      <c r="B17" s="7">
        <f t="shared" ca="1" si="0"/>
        <v>44850.41772164352</v>
      </c>
      <c r="C17" s="8">
        <f t="shared" ca="1" si="1"/>
        <v>44850.41772164352</v>
      </c>
      <c r="D17" s="6" t="s">
        <v>38</v>
      </c>
      <c r="E17" s="6"/>
      <c r="F17" s="7">
        <f t="shared" si="2"/>
        <v>91</v>
      </c>
      <c r="G17" s="9">
        <f t="shared" ca="1" si="3"/>
        <v>-45595</v>
      </c>
      <c r="H17" s="9"/>
      <c r="I17" s="50"/>
      <c r="J17" s="50"/>
      <c r="K17" s="50"/>
      <c r="L17" s="50"/>
      <c r="M17" s="50"/>
      <c r="N17" s="50"/>
      <c r="O17" s="50"/>
      <c r="P17" s="50"/>
      <c r="Q17" s="50"/>
      <c r="R17" s="51"/>
    </row>
    <row r="18" spans="1:18" ht="18" customHeight="1" x14ac:dyDescent="0.3">
      <c r="A18" s="18">
        <v>15</v>
      </c>
      <c r="B18" s="7">
        <f t="shared" ca="1" si="0"/>
        <v>44850.417756481482</v>
      </c>
      <c r="C18" s="8">
        <f t="shared" ca="1" si="1"/>
        <v>44850.417756481482</v>
      </c>
      <c r="D18" s="6" t="s">
        <v>39</v>
      </c>
      <c r="E18" s="6"/>
      <c r="F18" s="7">
        <f t="shared" si="2"/>
        <v>91</v>
      </c>
      <c r="G18" s="9">
        <f t="shared" ca="1" si="3"/>
        <v>-45595</v>
      </c>
      <c r="H18" s="9"/>
      <c r="I18" s="50"/>
      <c r="J18" s="50"/>
      <c r="K18" s="50"/>
      <c r="L18" s="50"/>
      <c r="M18" s="50"/>
      <c r="N18" s="50"/>
      <c r="O18" s="50"/>
      <c r="P18" s="50"/>
      <c r="Q18" s="50"/>
      <c r="R18" s="51"/>
    </row>
    <row r="19" spans="1:18" ht="18" customHeight="1" x14ac:dyDescent="0.3">
      <c r="A19" s="18">
        <v>16</v>
      </c>
      <c r="B19" s="7">
        <f t="shared" ca="1" si="0"/>
        <v>44850.417778703704</v>
      </c>
      <c r="C19" s="8">
        <f t="shared" ca="1" si="1"/>
        <v>44850.417778703704</v>
      </c>
      <c r="D19" s="6" t="s">
        <v>40</v>
      </c>
      <c r="E19" s="6"/>
      <c r="F19" s="7">
        <f t="shared" si="2"/>
        <v>91</v>
      </c>
      <c r="G19" s="9">
        <f t="shared" ca="1" si="3"/>
        <v>-45595</v>
      </c>
      <c r="H19" s="9"/>
      <c r="I19" s="50"/>
      <c r="J19" s="50"/>
      <c r="K19" s="50"/>
      <c r="L19" s="50"/>
      <c r="M19" s="50"/>
      <c r="N19" s="50"/>
      <c r="O19" s="50"/>
      <c r="P19" s="50"/>
      <c r="Q19" s="50"/>
      <c r="R19" s="51"/>
    </row>
    <row r="20" spans="1:18" ht="18" customHeight="1" x14ac:dyDescent="0.3">
      <c r="A20" s="18">
        <v>17</v>
      </c>
      <c r="B20" s="7">
        <f t="shared" ca="1" si="0"/>
        <v>44850.417825578705</v>
      </c>
      <c r="C20" s="8">
        <f t="shared" ca="1" si="1"/>
        <v>44850.417825578705</v>
      </c>
      <c r="D20" s="6" t="s">
        <v>41</v>
      </c>
      <c r="E20" s="6"/>
      <c r="F20" s="7">
        <f t="shared" si="2"/>
        <v>91</v>
      </c>
      <c r="G20" s="9">
        <f t="shared" ca="1" si="3"/>
        <v>-45595</v>
      </c>
      <c r="H20" s="9"/>
      <c r="I20" s="50"/>
      <c r="J20" s="50"/>
      <c r="K20" s="50"/>
      <c r="L20" s="50"/>
      <c r="M20" s="50"/>
      <c r="N20" s="50"/>
      <c r="O20" s="50"/>
      <c r="P20" s="50"/>
      <c r="Q20" s="50"/>
      <c r="R20" s="51"/>
    </row>
    <row r="21" spans="1:18" ht="18" customHeight="1" x14ac:dyDescent="0.3">
      <c r="A21" s="18">
        <v>18</v>
      </c>
      <c r="B21" s="7">
        <f t="shared" ca="1" si="0"/>
        <v>44850.417847106481</v>
      </c>
      <c r="C21" s="8">
        <f t="shared" ca="1" si="1"/>
        <v>44850.417847106481</v>
      </c>
      <c r="D21" s="6" t="s">
        <v>42</v>
      </c>
      <c r="E21" s="6"/>
      <c r="F21" s="7">
        <f t="shared" si="2"/>
        <v>91</v>
      </c>
      <c r="G21" s="9">
        <f t="shared" ca="1" si="3"/>
        <v>-45595</v>
      </c>
      <c r="H21" s="9"/>
      <c r="I21" s="50"/>
      <c r="J21" s="50"/>
      <c r="K21" s="50"/>
      <c r="L21" s="50"/>
      <c r="M21" s="50"/>
      <c r="N21" s="50"/>
      <c r="O21" s="50"/>
      <c r="P21" s="50"/>
      <c r="Q21" s="50"/>
      <c r="R21" s="51"/>
    </row>
    <row r="22" spans="1:18" ht="18" customHeight="1" x14ac:dyDescent="0.3">
      <c r="A22" s="18">
        <v>19</v>
      </c>
      <c r="B22" s="7">
        <f t="shared" ca="1" si="0"/>
        <v>44850.417885995368</v>
      </c>
      <c r="C22" s="8">
        <f t="shared" ca="1" si="1"/>
        <v>44850.417885995368</v>
      </c>
      <c r="D22" s="6" t="s">
        <v>43</v>
      </c>
      <c r="E22" s="6"/>
      <c r="F22" s="7">
        <f t="shared" si="2"/>
        <v>91</v>
      </c>
      <c r="G22" s="9">
        <f t="shared" ca="1" si="3"/>
        <v>-45595</v>
      </c>
      <c r="H22" s="9"/>
      <c r="I22" s="50"/>
      <c r="J22" s="50"/>
      <c r="K22" s="50"/>
      <c r="L22" s="50"/>
      <c r="M22" s="50"/>
      <c r="N22" s="50"/>
      <c r="O22" s="50"/>
      <c r="P22" s="50"/>
      <c r="Q22" s="50"/>
      <c r="R22" s="51"/>
    </row>
    <row r="23" spans="1:18" ht="18" customHeight="1" x14ac:dyDescent="0.3">
      <c r="A23" s="18">
        <v>20</v>
      </c>
      <c r="B23" s="7">
        <f t="shared" ca="1" si="0"/>
        <v>44850.417905555558</v>
      </c>
      <c r="C23" s="8">
        <f t="shared" ca="1" si="1"/>
        <v>44850.417905555558</v>
      </c>
      <c r="D23" s="6" t="s">
        <v>44</v>
      </c>
      <c r="E23" s="6"/>
      <c r="F23" s="7">
        <f t="shared" si="2"/>
        <v>91</v>
      </c>
      <c r="G23" s="9">
        <f t="shared" ca="1" si="3"/>
        <v>-45595</v>
      </c>
      <c r="H23" s="9"/>
      <c r="I23" s="50"/>
      <c r="J23" s="50"/>
      <c r="K23" s="50"/>
      <c r="L23" s="50"/>
      <c r="M23" s="50"/>
      <c r="N23" s="50"/>
      <c r="O23" s="50"/>
      <c r="P23" s="50"/>
      <c r="Q23" s="50"/>
      <c r="R23" s="51"/>
    </row>
    <row r="24" spans="1:18" ht="18" customHeight="1" x14ac:dyDescent="0.3">
      <c r="A24" s="18">
        <v>21</v>
      </c>
      <c r="B24" s="7">
        <f t="shared" ca="1" si="0"/>
        <v>44850.417928356481</v>
      </c>
      <c r="C24" s="8">
        <f t="shared" ca="1" si="1"/>
        <v>44850.417928356481</v>
      </c>
      <c r="D24" s="6" t="s">
        <v>45</v>
      </c>
      <c r="E24" s="6"/>
      <c r="F24" s="7">
        <f t="shared" si="2"/>
        <v>91</v>
      </c>
      <c r="G24" s="9">
        <f t="shared" ca="1" si="3"/>
        <v>-45595</v>
      </c>
      <c r="H24" s="9"/>
      <c r="I24" s="50"/>
      <c r="J24" s="50"/>
      <c r="K24" s="50"/>
      <c r="L24" s="50"/>
      <c r="M24" s="50"/>
      <c r="N24" s="50"/>
      <c r="O24" s="50"/>
      <c r="P24" s="50"/>
      <c r="Q24" s="50"/>
      <c r="R24" s="51"/>
    </row>
    <row r="25" spans="1:18" ht="18" customHeight="1" x14ac:dyDescent="0.3">
      <c r="A25" s="18">
        <v>22</v>
      </c>
      <c r="B25" s="7">
        <f t="shared" ca="1" si="0"/>
        <v>44850.417946527778</v>
      </c>
      <c r="C25" s="8">
        <f t="shared" ca="1" si="1"/>
        <v>44850.417946527778</v>
      </c>
      <c r="D25" s="6" t="s">
        <v>46</v>
      </c>
      <c r="E25" s="6"/>
      <c r="F25" s="7">
        <f t="shared" si="2"/>
        <v>91</v>
      </c>
      <c r="G25" s="9">
        <f t="shared" ca="1" si="3"/>
        <v>-45595</v>
      </c>
      <c r="H25" s="9"/>
      <c r="I25" s="50"/>
      <c r="J25" s="50"/>
      <c r="K25" s="50"/>
      <c r="L25" s="50"/>
      <c r="M25" s="50"/>
      <c r="N25" s="50"/>
      <c r="O25" s="50"/>
      <c r="P25" s="50"/>
      <c r="Q25" s="50"/>
      <c r="R25" s="51"/>
    </row>
    <row r="26" spans="1:18" ht="18" customHeight="1" x14ac:dyDescent="0.3">
      <c r="A26" s="18">
        <v>23</v>
      </c>
      <c r="B26" s="7">
        <f t="shared" ca="1" si="0"/>
        <v>44850.417964814813</v>
      </c>
      <c r="C26" s="8">
        <f t="shared" ca="1" si="1"/>
        <v>44850.417964814813</v>
      </c>
      <c r="D26" s="6" t="s">
        <v>47</v>
      </c>
      <c r="E26" s="6"/>
      <c r="F26" s="7">
        <f t="shared" si="2"/>
        <v>91</v>
      </c>
      <c r="G26" s="9">
        <f t="shared" ca="1" si="3"/>
        <v>-45595</v>
      </c>
      <c r="H26" s="9"/>
      <c r="I26" s="50"/>
      <c r="J26" s="50"/>
      <c r="K26" s="50"/>
      <c r="L26" s="50"/>
      <c r="M26" s="50"/>
      <c r="N26" s="50"/>
      <c r="O26" s="50"/>
      <c r="P26" s="50"/>
      <c r="Q26" s="50"/>
      <c r="R26" s="51"/>
    </row>
    <row r="27" spans="1:18" ht="18" customHeight="1" x14ac:dyDescent="0.3">
      <c r="A27" s="18">
        <v>24</v>
      </c>
      <c r="B27" s="7">
        <f t="shared" ca="1" si="0"/>
        <v>44850.417983912041</v>
      </c>
      <c r="C27" s="8">
        <f t="shared" ca="1" si="1"/>
        <v>44850.417983912041</v>
      </c>
      <c r="D27" s="6" t="s">
        <v>48</v>
      </c>
      <c r="E27" s="6"/>
      <c r="F27" s="7">
        <f t="shared" si="2"/>
        <v>91</v>
      </c>
      <c r="G27" s="9">
        <f t="shared" ca="1" si="3"/>
        <v>-45595</v>
      </c>
      <c r="H27" s="9"/>
      <c r="I27" s="50"/>
      <c r="J27" s="50"/>
      <c r="K27" s="50"/>
      <c r="L27" s="50"/>
      <c r="M27" s="50"/>
      <c r="N27" s="50"/>
      <c r="O27" s="50"/>
      <c r="P27" s="50"/>
      <c r="Q27" s="50"/>
      <c r="R27" s="51"/>
    </row>
    <row r="28" spans="1:18" ht="18" customHeight="1" x14ac:dyDescent="0.3">
      <c r="A28" s="18">
        <v>25</v>
      </c>
      <c r="B28" s="7">
        <f t="shared" ca="1" si="0"/>
        <v>44850.418002314815</v>
      </c>
      <c r="C28" s="8">
        <f t="shared" ca="1" si="1"/>
        <v>44850.418002314815</v>
      </c>
      <c r="D28" s="6" t="s">
        <v>49</v>
      </c>
      <c r="E28" s="6"/>
      <c r="F28" s="7">
        <f t="shared" si="2"/>
        <v>91</v>
      </c>
      <c r="G28" s="9">
        <f t="shared" ca="1" si="3"/>
        <v>-45595</v>
      </c>
      <c r="H28" s="9"/>
      <c r="I28" s="50"/>
      <c r="J28" s="50"/>
      <c r="K28" s="50"/>
      <c r="L28" s="50"/>
      <c r="M28" s="50"/>
      <c r="N28" s="50"/>
      <c r="O28" s="50"/>
      <c r="P28" s="50"/>
      <c r="Q28" s="50"/>
      <c r="R28" s="51"/>
    </row>
    <row r="29" spans="1:18" ht="18" customHeight="1" x14ac:dyDescent="0.3">
      <c r="A29" s="18">
        <v>26</v>
      </c>
      <c r="B29" s="7">
        <f t="shared" ca="1" si="0"/>
        <v>44850.418020833335</v>
      </c>
      <c r="C29" s="8">
        <f t="shared" ca="1" si="1"/>
        <v>44850.418020833335</v>
      </c>
      <c r="D29" s="6" t="s">
        <v>50</v>
      </c>
      <c r="E29" s="6"/>
      <c r="F29" s="7">
        <f t="shared" si="2"/>
        <v>91</v>
      </c>
      <c r="G29" s="9">
        <f t="shared" ca="1" si="3"/>
        <v>-45595</v>
      </c>
      <c r="H29" s="9"/>
      <c r="I29" s="50"/>
      <c r="J29" s="50"/>
      <c r="K29" s="50"/>
      <c r="L29" s="50"/>
      <c r="M29" s="50"/>
      <c r="N29" s="50"/>
      <c r="O29" s="50"/>
      <c r="P29" s="50"/>
      <c r="Q29" s="50"/>
      <c r="R29" s="51"/>
    </row>
    <row r="30" spans="1:18" ht="18" customHeight="1" x14ac:dyDescent="0.3">
      <c r="A30" s="18">
        <v>27</v>
      </c>
      <c r="B30" s="7">
        <f t="shared" ca="1" si="0"/>
        <v>44850.418037847223</v>
      </c>
      <c r="C30" s="8">
        <f t="shared" ca="1" si="1"/>
        <v>44850.418037847223</v>
      </c>
      <c r="D30" s="6" t="s">
        <v>51</v>
      </c>
      <c r="E30" s="6"/>
      <c r="F30" s="7">
        <f t="shared" si="2"/>
        <v>91</v>
      </c>
      <c r="G30" s="9">
        <f t="shared" ca="1" si="3"/>
        <v>-45595</v>
      </c>
      <c r="H30" s="9"/>
      <c r="I30" s="50"/>
      <c r="J30" s="50"/>
      <c r="K30" s="50"/>
      <c r="L30" s="50"/>
      <c r="M30" s="50"/>
      <c r="N30" s="50"/>
      <c r="O30" s="50"/>
      <c r="P30" s="50"/>
      <c r="Q30" s="50"/>
      <c r="R30" s="51"/>
    </row>
    <row r="31" spans="1:18" ht="18" customHeight="1" x14ac:dyDescent="0.3">
      <c r="A31" s="18">
        <v>28</v>
      </c>
      <c r="B31" s="7">
        <f t="shared" ca="1" si="0"/>
        <v>44850.418054861111</v>
      </c>
      <c r="C31" s="8">
        <f t="shared" ca="1" si="1"/>
        <v>44850.418054861111</v>
      </c>
      <c r="D31" s="6" t="s">
        <v>52</v>
      </c>
      <c r="E31" s="6"/>
      <c r="F31" s="7">
        <f t="shared" si="2"/>
        <v>91</v>
      </c>
      <c r="G31" s="9">
        <f t="shared" ca="1" si="3"/>
        <v>-45595</v>
      </c>
      <c r="H31" s="9"/>
      <c r="I31" s="50"/>
      <c r="J31" s="50"/>
      <c r="K31" s="50"/>
      <c r="L31" s="50"/>
      <c r="M31" s="50"/>
      <c r="N31" s="50"/>
      <c r="O31" s="50"/>
      <c r="P31" s="50"/>
      <c r="Q31" s="50"/>
      <c r="R31" s="51"/>
    </row>
    <row r="32" spans="1:18" ht="18" customHeight="1" x14ac:dyDescent="0.3">
      <c r="A32" s="18">
        <v>29</v>
      </c>
      <c r="B32" s="7">
        <f t="shared" ca="1" si="0"/>
        <v>44850.418090393519</v>
      </c>
      <c r="C32" s="8">
        <f t="shared" ca="1" si="1"/>
        <v>44850.418090393519</v>
      </c>
      <c r="D32" s="6" t="s">
        <v>53</v>
      </c>
      <c r="E32" s="6"/>
      <c r="F32" s="7">
        <f t="shared" si="2"/>
        <v>91</v>
      </c>
      <c r="G32" s="9">
        <f t="shared" ca="1" si="3"/>
        <v>-45595</v>
      </c>
      <c r="H32" s="9"/>
      <c r="I32" s="50"/>
      <c r="J32" s="50"/>
      <c r="K32" s="50"/>
      <c r="L32" s="50"/>
      <c r="M32" s="50"/>
      <c r="N32" s="50"/>
      <c r="O32" s="50"/>
      <c r="P32" s="50"/>
      <c r="Q32" s="50"/>
      <c r="R32" s="51"/>
    </row>
    <row r="33" spans="1:18" ht="18" customHeight="1" x14ac:dyDescent="0.3">
      <c r="A33" s="18">
        <v>30</v>
      </c>
      <c r="B33" s="7">
        <f t="shared" ca="1" si="0"/>
        <v>44850.418107291669</v>
      </c>
      <c r="C33" s="8">
        <f t="shared" ca="1" si="1"/>
        <v>44850.418107291669</v>
      </c>
      <c r="D33" s="6" t="s">
        <v>54</v>
      </c>
      <c r="E33" s="6"/>
      <c r="F33" s="7">
        <f t="shared" si="2"/>
        <v>91</v>
      </c>
      <c r="G33" s="9">
        <f t="shared" ca="1" si="3"/>
        <v>-45595</v>
      </c>
      <c r="H33" s="9"/>
      <c r="I33" s="50"/>
      <c r="J33" s="50"/>
      <c r="K33" s="50"/>
      <c r="L33" s="50"/>
      <c r="M33" s="50"/>
      <c r="N33" s="50"/>
      <c r="O33" s="50"/>
      <c r="P33" s="50"/>
      <c r="Q33" s="50"/>
      <c r="R33" s="51"/>
    </row>
    <row r="34" spans="1:18" ht="18" customHeight="1" x14ac:dyDescent="0.3">
      <c r="A34" s="18">
        <v>31</v>
      </c>
      <c r="B34" s="7">
        <f t="shared" ca="1" si="0"/>
        <v>44850.418127777775</v>
      </c>
      <c r="C34" s="8">
        <f t="shared" ca="1" si="1"/>
        <v>44850.418127777775</v>
      </c>
      <c r="D34" s="6" t="s">
        <v>55</v>
      </c>
      <c r="E34" s="6"/>
      <c r="F34" s="7">
        <f t="shared" si="2"/>
        <v>91</v>
      </c>
      <c r="G34" s="9">
        <f t="shared" ca="1" si="3"/>
        <v>-45595</v>
      </c>
      <c r="H34" s="9"/>
      <c r="I34" s="50"/>
      <c r="J34" s="50"/>
      <c r="K34" s="50"/>
      <c r="L34" s="50"/>
      <c r="M34" s="50"/>
      <c r="N34" s="50"/>
      <c r="O34" s="50"/>
      <c r="P34" s="50"/>
      <c r="Q34" s="50"/>
      <c r="R34" s="51"/>
    </row>
    <row r="35" spans="1:18" ht="18" customHeight="1" x14ac:dyDescent="0.3">
      <c r="A35" s="18">
        <v>32</v>
      </c>
      <c r="B35" s="7">
        <f t="shared" ca="1" si="0"/>
        <v>44850.418145949072</v>
      </c>
      <c r="C35" s="8">
        <f t="shared" ca="1" si="1"/>
        <v>44850.418145949072</v>
      </c>
      <c r="D35" s="6" t="s">
        <v>56</v>
      </c>
      <c r="E35" s="6"/>
      <c r="F35" s="7">
        <f t="shared" si="2"/>
        <v>91</v>
      </c>
      <c r="G35" s="9">
        <f t="shared" ca="1" si="3"/>
        <v>-45595</v>
      </c>
      <c r="H35" s="9"/>
      <c r="I35" s="50"/>
      <c r="J35" s="50"/>
      <c r="K35" s="50"/>
      <c r="L35" s="50"/>
      <c r="M35" s="50"/>
      <c r="N35" s="50"/>
      <c r="O35" s="50"/>
      <c r="P35" s="50"/>
      <c r="Q35" s="50"/>
      <c r="R35" s="51"/>
    </row>
    <row r="36" spans="1:18" ht="18" customHeight="1" x14ac:dyDescent="0.3">
      <c r="A36" s="18">
        <v>33</v>
      </c>
      <c r="B36" s="7">
        <f t="shared" ca="1" si="0"/>
        <v>44850.4181650463</v>
      </c>
      <c r="C36" s="8">
        <f t="shared" ca="1" si="1"/>
        <v>44850.4181650463</v>
      </c>
      <c r="D36" s="6" t="s">
        <v>57</v>
      </c>
      <c r="E36" s="6"/>
      <c r="F36" s="7">
        <f t="shared" si="2"/>
        <v>91</v>
      </c>
      <c r="G36" s="9">
        <f t="shared" ca="1" si="3"/>
        <v>-45595</v>
      </c>
      <c r="H36" s="9"/>
      <c r="I36" s="50"/>
      <c r="J36" s="50"/>
      <c r="K36" s="50"/>
      <c r="L36" s="50"/>
      <c r="M36" s="50"/>
      <c r="N36" s="50"/>
      <c r="O36" s="50"/>
      <c r="P36" s="50"/>
      <c r="Q36" s="50"/>
      <c r="R36" s="51"/>
    </row>
    <row r="37" spans="1:18" ht="18" customHeight="1" x14ac:dyDescent="0.3">
      <c r="A37" s="18">
        <v>34</v>
      </c>
      <c r="B37" s="7">
        <f t="shared" ca="1" si="0"/>
        <v>44850.418185532406</v>
      </c>
      <c r="C37" s="8">
        <f t="shared" ca="1" si="1"/>
        <v>44850.418185532406</v>
      </c>
      <c r="D37" s="6" t="s">
        <v>58</v>
      </c>
      <c r="E37" s="6"/>
      <c r="F37" s="7">
        <f t="shared" si="2"/>
        <v>91</v>
      </c>
      <c r="G37" s="9">
        <f t="shared" ca="1" si="3"/>
        <v>-45595</v>
      </c>
      <c r="H37" s="9"/>
      <c r="I37" s="50"/>
      <c r="J37" s="50"/>
      <c r="K37" s="50"/>
      <c r="L37" s="50"/>
      <c r="M37" s="50"/>
      <c r="N37" s="50"/>
      <c r="O37" s="50"/>
      <c r="P37" s="50"/>
      <c r="Q37" s="50"/>
      <c r="R37" s="51"/>
    </row>
    <row r="38" spans="1:18" ht="18" customHeight="1" x14ac:dyDescent="0.3">
      <c r="A38" s="18">
        <v>35</v>
      </c>
      <c r="B38" s="7">
        <f t="shared" ca="1" si="0"/>
        <v>44850.418205324073</v>
      </c>
      <c r="C38" s="8">
        <f t="shared" ca="1" si="1"/>
        <v>44850.418205324073</v>
      </c>
      <c r="D38" s="6" t="s">
        <v>59</v>
      </c>
      <c r="E38" s="6"/>
      <c r="F38" s="7">
        <f t="shared" si="2"/>
        <v>91</v>
      </c>
      <c r="G38" s="9">
        <f t="shared" ca="1" si="3"/>
        <v>-45595</v>
      </c>
      <c r="H38" s="9"/>
      <c r="I38" s="50"/>
      <c r="J38" s="50"/>
      <c r="K38" s="50"/>
      <c r="L38" s="50"/>
      <c r="M38" s="50"/>
      <c r="N38" s="50"/>
      <c r="O38" s="50"/>
      <c r="P38" s="50"/>
      <c r="Q38" s="50"/>
      <c r="R38" s="51"/>
    </row>
    <row r="39" spans="1:18" ht="18" customHeight="1" x14ac:dyDescent="0.3">
      <c r="A39" s="18">
        <v>36</v>
      </c>
      <c r="B39" s="7">
        <f t="shared" ca="1" si="0"/>
        <v>44850.418226504633</v>
      </c>
      <c r="C39" s="8">
        <f t="shared" ca="1" si="1"/>
        <v>44850.418226504633</v>
      </c>
      <c r="D39" s="6" t="s">
        <v>60</v>
      </c>
      <c r="E39" s="6"/>
      <c r="F39" s="7">
        <f t="shared" si="2"/>
        <v>91</v>
      </c>
      <c r="G39" s="9">
        <f t="shared" ca="1" si="3"/>
        <v>-45595</v>
      </c>
      <c r="H39" s="9"/>
      <c r="I39" s="50"/>
      <c r="J39" s="50"/>
      <c r="K39" s="50"/>
      <c r="L39" s="50"/>
      <c r="M39" s="50"/>
      <c r="N39" s="50"/>
      <c r="O39" s="50"/>
      <c r="P39" s="50"/>
      <c r="Q39" s="50"/>
      <c r="R39" s="51"/>
    </row>
    <row r="40" spans="1:18" ht="18" customHeight="1" x14ac:dyDescent="0.3">
      <c r="A40" s="18">
        <v>37</v>
      </c>
      <c r="B40" s="7">
        <f t="shared" ca="1" si="0"/>
        <v>44850.418245601853</v>
      </c>
      <c r="C40" s="8">
        <f t="shared" ca="1" si="1"/>
        <v>44850.418245601853</v>
      </c>
      <c r="D40" s="6" t="s">
        <v>61</v>
      </c>
      <c r="E40" s="6"/>
      <c r="F40" s="7">
        <f t="shared" si="2"/>
        <v>91</v>
      </c>
      <c r="G40" s="9">
        <f t="shared" ca="1" si="3"/>
        <v>-45595</v>
      </c>
      <c r="H40" s="9"/>
      <c r="I40" s="50"/>
      <c r="J40" s="50"/>
      <c r="K40" s="50"/>
      <c r="L40" s="50"/>
      <c r="M40" s="50"/>
      <c r="N40" s="50"/>
      <c r="O40" s="50"/>
      <c r="P40" s="50"/>
      <c r="Q40" s="50"/>
      <c r="R40" s="51"/>
    </row>
    <row r="41" spans="1:18" ht="18" customHeight="1" x14ac:dyDescent="0.3">
      <c r="A41" s="18">
        <v>38</v>
      </c>
      <c r="B41" s="7">
        <f t="shared" ca="1" si="0"/>
        <v>44850.418264120373</v>
      </c>
      <c r="C41" s="8">
        <f t="shared" ca="1" si="1"/>
        <v>44850.418264120373</v>
      </c>
      <c r="D41" s="6" t="s">
        <v>62</v>
      </c>
      <c r="E41" s="6"/>
      <c r="F41" s="7">
        <f t="shared" si="2"/>
        <v>91</v>
      </c>
      <c r="G41" s="9">
        <f t="shared" ca="1" si="3"/>
        <v>-45595</v>
      </c>
      <c r="H41" s="9"/>
      <c r="I41" s="50"/>
      <c r="J41" s="50"/>
      <c r="K41" s="50"/>
      <c r="L41" s="50"/>
      <c r="M41" s="50"/>
      <c r="N41" s="50"/>
      <c r="O41" s="50"/>
      <c r="P41" s="50"/>
      <c r="Q41" s="50"/>
      <c r="R41" s="51"/>
    </row>
    <row r="42" spans="1:18" ht="18" customHeight="1" x14ac:dyDescent="0.3">
      <c r="A42" s="18">
        <v>39</v>
      </c>
      <c r="B42" s="7">
        <f t="shared" ca="1" si="0"/>
        <v>44850.418281134262</v>
      </c>
      <c r="C42" s="8">
        <f t="shared" ca="1" si="1"/>
        <v>44850.418281134262</v>
      </c>
      <c r="D42" s="6" t="s">
        <v>63</v>
      </c>
      <c r="E42" s="6"/>
      <c r="F42" s="7">
        <f t="shared" si="2"/>
        <v>91</v>
      </c>
      <c r="G42" s="9">
        <f t="shared" ca="1" si="3"/>
        <v>-45595</v>
      </c>
      <c r="H42" s="9"/>
      <c r="I42" s="50"/>
      <c r="J42" s="50"/>
      <c r="K42" s="50"/>
      <c r="L42" s="50"/>
      <c r="M42" s="50"/>
      <c r="N42" s="50"/>
      <c r="O42" s="50"/>
      <c r="P42" s="50"/>
      <c r="Q42" s="50"/>
      <c r="R42" s="51"/>
    </row>
    <row r="43" spans="1:18" ht="18" customHeight="1" x14ac:dyDescent="0.3">
      <c r="A43" s="18">
        <v>40</v>
      </c>
      <c r="B43" s="7">
        <f t="shared" ca="1" si="0"/>
        <v>44850.418297685188</v>
      </c>
      <c r="C43" s="8">
        <f t="shared" ca="1" si="1"/>
        <v>44850.418297685188</v>
      </c>
      <c r="D43" s="6" t="s">
        <v>64</v>
      </c>
      <c r="E43" s="6"/>
      <c r="F43" s="7">
        <f t="shared" si="2"/>
        <v>91</v>
      </c>
      <c r="G43" s="9">
        <f t="shared" ca="1" si="3"/>
        <v>-45595</v>
      </c>
      <c r="H43" s="9"/>
      <c r="I43" s="50"/>
      <c r="J43" s="50"/>
      <c r="K43" s="50"/>
      <c r="L43" s="50"/>
      <c r="M43" s="50"/>
      <c r="N43" s="50"/>
      <c r="O43" s="50"/>
      <c r="P43" s="50"/>
      <c r="Q43" s="50"/>
      <c r="R43" s="51"/>
    </row>
    <row r="44" spans="1:18" ht="18" customHeight="1" x14ac:dyDescent="0.3">
      <c r="A44" s="18">
        <v>41</v>
      </c>
      <c r="B44" s="7">
        <f t="shared" ca="1" si="0"/>
        <v>44850.41831458333</v>
      </c>
      <c r="C44" s="8">
        <f t="shared" ca="1" si="1"/>
        <v>44850.41831458333</v>
      </c>
      <c r="D44" s="6" t="s">
        <v>65</v>
      </c>
      <c r="E44" s="6"/>
      <c r="F44" s="7">
        <f t="shared" si="2"/>
        <v>91</v>
      </c>
      <c r="G44" s="9">
        <f t="shared" ca="1" si="3"/>
        <v>-45595</v>
      </c>
      <c r="H44" s="9"/>
      <c r="I44" s="50"/>
      <c r="J44" s="50"/>
      <c r="K44" s="50"/>
      <c r="L44" s="50"/>
      <c r="M44" s="50"/>
      <c r="N44" s="50"/>
      <c r="O44" s="50"/>
      <c r="P44" s="50"/>
      <c r="Q44" s="50"/>
      <c r="R44" s="51"/>
    </row>
    <row r="45" spans="1:18" ht="18" customHeight="1" x14ac:dyDescent="0.3">
      <c r="A45" s="18">
        <v>42</v>
      </c>
      <c r="B45" s="7">
        <f t="shared" ca="1" si="0"/>
        <v>44850.418332291665</v>
      </c>
      <c r="C45" s="8">
        <f t="shared" ca="1" si="1"/>
        <v>44850.418332291665</v>
      </c>
      <c r="D45" s="6" t="s">
        <v>66</v>
      </c>
      <c r="E45" s="6"/>
      <c r="F45" s="7">
        <f t="shared" si="2"/>
        <v>91</v>
      </c>
      <c r="G45" s="9">
        <f t="shared" ca="1" si="3"/>
        <v>-45595</v>
      </c>
      <c r="H45" s="9"/>
      <c r="I45" s="50"/>
      <c r="J45" s="50"/>
      <c r="K45" s="50"/>
      <c r="L45" s="50"/>
      <c r="M45" s="50"/>
      <c r="N45" s="50"/>
      <c r="O45" s="50"/>
      <c r="P45" s="50"/>
      <c r="Q45" s="50"/>
      <c r="R45" s="51"/>
    </row>
    <row r="46" spans="1:18" ht="18" customHeight="1" x14ac:dyDescent="0.3">
      <c r="A46" s="18">
        <v>43</v>
      </c>
      <c r="B46" s="7">
        <f t="shared" ca="1" si="0"/>
        <v>44850.418350810185</v>
      </c>
      <c r="C46" s="8">
        <f t="shared" ca="1" si="1"/>
        <v>44850.418350810185</v>
      </c>
      <c r="D46" s="6" t="s">
        <v>67</v>
      </c>
      <c r="E46" s="6"/>
      <c r="F46" s="7">
        <f t="shared" si="2"/>
        <v>91</v>
      </c>
      <c r="G46" s="9">
        <f t="shared" ca="1" si="3"/>
        <v>-45595</v>
      </c>
      <c r="H46" s="9"/>
      <c r="I46" s="50"/>
      <c r="J46" s="50"/>
      <c r="K46" s="50"/>
      <c r="L46" s="50"/>
      <c r="M46" s="50"/>
      <c r="N46" s="50"/>
      <c r="O46" s="50"/>
      <c r="P46" s="50"/>
      <c r="Q46" s="50"/>
      <c r="R46" s="51"/>
    </row>
    <row r="47" spans="1:18" ht="18" customHeight="1" x14ac:dyDescent="0.3">
      <c r="A47" s="18">
        <v>44</v>
      </c>
      <c r="B47" s="7">
        <f t="shared" ca="1" si="0"/>
        <v>44850.418373842593</v>
      </c>
      <c r="C47" s="8">
        <f t="shared" ca="1" si="1"/>
        <v>44850.418373842593</v>
      </c>
      <c r="D47" s="6" t="s">
        <v>68</v>
      </c>
      <c r="E47" s="6"/>
      <c r="F47" s="7">
        <f t="shared" si="2"/>
        <v>91</v>
      </c>
      <c r="G47" s="9">
        <f t="shared" ca="1" si="3"/>
        <v>-45595</v>
      </c>
      <c r="H47" s="9"/>
      <c r="I47" s="50"/>
      <c r="J47" s="50"/>
      <c r="K47" s="50"/>
      <c r="L47" s="50"/>
      <c r="M47" s="50"/>
      <c r="N47" s="50"/>
      <c r="O47" s="50"/>
      <c r="P47" s="50"/>
      <c r="Q47" s="50"/>
      <c r="R47" s="51"/>
    </row>
    <row r="48" spans="1:18" ht="18" customHeight="1" x14ac:dyDescent="0.3">
      <c r="A48" s="18">
        <v>45</v>
      </c>
      <c r="B48" s="7">
        <f t="shared" ca="1" si="0"/>
        <v>44850.418391550927</v>
      </c>
      <c r="C48" s="8">
        <f t="shared" ca="1" si="1"/>
        <v>44850.418391550927</v>
      </c>
      <c r="D48" s="6" t="s">
        <v>69</v>
      </c>
      <c r="E48" s="6"/>
      <c r="F48" s="7">
        <f t="shared" si="2"/>
        <v>91</v>
      </c>
      <c r="G48" s="9">
        <f t="shared" ca="1" si="3"/>
        <v>-45595</v>
      </c>
      <c r="H48" s="9"/>
      <c r="I48" s="50"/>
      <c r="J48" s="50"/>
      <c r="K48" s="50"/>
      <c r="L48" s="50"/>
      <c r="M48" s="50"/>
      <c r="N48" s="50"/>
      <c r="O48" s="50"/>
      <c r="P48" s="50"/>
      <c r="Q48" s="50"/>
      <c r="R48" s="51"/>
    </row>
    <row r="49" spans="1:18" ht="18" customHeight="1" x14ac:dyDescent="0.3">
      <c r="A49" s="18">
        <v>46</v>
      </c>
      <c r="B49" s="7">
        <f t="shared" ca="1" si="0"/>
        <v>44850.418407986108</v>
      </c>
      <c r="C49" s="8">
        <f t="shared" ca="1" si="1"/>
        <v>44850.418407986108</v>
      </c>
      <c r="D49" s="6" t="s">
        <v>70</v>
      </c>
      <c r="E49" s="6"/>
      <c r="F49" s="7">
        <f t="shared" si="2"/>
        <v>91</v>
      </c>
      <c r="G49" s="9">
        <f t="shared" ca="1" si="3"/>
        <v>-45595</v>
      </c>
      <c r="H49" s="9"/>
      <c r="I49" s="50"/>
      <c r="J49" s="50"/>
      <c r="K49" s="50"/>
      <c r="L49" s="50"/>
      <c r="M49" s="50"/>
      <c r="N49" s="50"/>
      <c r="O49" s="50"/>
      <c r="P49" s="50"/>
      <c r="Q49" s="50"/>
      <c r="R49" s="51"/>
    </row>
    <row r="50" spans="1:18" ht="18" customHeight="1" x14ac:dyDescent="0.3">
      <c r="A50" s="18">
        <v>47</v>
      </c>
      <c r="B50" s="7">
        <f t="shared" ca="1" si="0"/>
        <v>44850.418425000003</v>
      </c>
      <c r="C50" s="8">
        <f t="shared" ca="1" si="1"/>
        <v>44850.418425000003</v>
      </c>
      <c r="D50" s="6" t="s">
        <v>71</v>
      </c>
      <c r="E50" s="6"/>
      <c r="F50" s="7">
        <f t="shared" si="2"/>
        <v>91</v>
      </c>
      <c r="G50" s="9">
        <f t="shared" ca="1" si="3"/>
        <v>-45595</v>
      </c>
      <c r="H50" s="9"/>
      <c r="I50" s="50"/>
      <c r="J50" s="50"/>
      <c r="K50" s="50"/>
      <c r="L50" s="50"/>
      <c r="M50" s="50"/>
      <c r="N50" s="50"/>
      <c r="O50" s="50"/>
      <c r="P50" s="50"/>
      <c r="Q50" s="50"/>
      <c r="R50" s="51"/>
    </row>
    <row r="51" spans="1:18" ht="18" customHeight="1" x14ac:dyDescent="0.3">
      <c r="A51" s="18">
        <v>48</v>
      </c>
      <c r="B51" s="7">
        <f t="shared" ca="1" si="0"/>
        <v>44850.418450578705</v>
      </c>
      <c r="C51" s="8">
        <f t="shared" ca="1" si="1"/>
        <v>44850.418450578705</v>
      </c>
      <c r="D51" s="6" t="s">
        <v>72</v>
      </c>
      <c r="E51" s="6"/>
      <c r="F51" s="7">
        <f t="shared" si="2"/>
        <v>91</v>
      </c>
      <c r="G51" s="9">
        <f t="shared" ca="1" si="3"/>
        <v>-45595</v>
      </c>
      <c r="H51" s="9"/>
      <c r="I51" s="50"/>
      <c r="J51" s="50"/>
      <c r="K51" s="50"/>
      <c r="L51" s="50"/>
      <c r="M51" s="50"/>
      <c r="N51" s="50"/>
      <c r="O51" s="50"/>
      <c r="P51" s="50"/>
      <c r="Q51" s="50"/>
      <c r="R51" s="51"/>
    </row>
    <row r="52" spans="1:18" ht="18" customHeight="1" x14ac:dyDescent="0.3">
      <c r="A52" s="18">
        <v>49</v>
      </c>
      <c r="B52" s="7">
        <f t="shared" ca="1" si="0"/>
        <v>44850.418466435185</v>
      </c>
      <c r="C52" s="8">
        <f t="shared" ca="1" si="1"/>
        <v>44850.418466435185</v>
      </c>
      <c r="D52" s="6" t="s">
        <v>73</v>
      </c>
      <c r="E52" s="6"/>
      <c r="F52" s="7">
        <f t="shared" si="2"/>
        <v>91</v>
      </c>
      <c r="G52" s="9">
        <f t="shared" ca="1" si="3"/>
        <v>-45595</v>
      </c>
      <c r="H52" s="9"/>
      <c r="I52" s="50"/>
      <c r="J52" s="50"/>
      <c r="K52" s="50"/>
      <c r="L52" s="50"/>
      <c r="M52" s="50"/>
      <c r="N52" s="50"/>
      <c r="O52" s="50"/>
      <c r="P52" s="50"/>
      <c r="Q52" s="50"/>
      <c r="R52" s="51"/>
    </row>
    <row r="53" spans="1:18" ht="18" customHeight="1" x14ac:dyDescent="0.3">
      <c r="A53" s="18">
        <v>50</v>
      </c>
      <c r="B53" s="7">
        <f t="shared" ca="1" si="0"/>
        <v>44850.418483449073</v>
      </c>
      <c r="C53" s="8">
        <f t="shared" ca="1" si="1"/>
        <v>44850.418483449073</v>
      </c>
      <c r="D53" s="6" t="s">
        <v>74</v>
      </c>
      <c r="E53" s="6"/>
      <c r="F53" s="7">
        <f t="shared" si="2"/>
        <v>91</v>
      </c>
      <c r="G53" s="9">
        <f t="shared" ca="1" si="3"/>
        <v>-45595</v>
      </c>
      <c r="H53" s="9"/>
      <c r="I53" s="50"/>
      <c r="J53" s="50"/>
      <c r="K53" s="50"/>
      <c r="L53" s="50"/>
      <c r="M53" s="50"/>
      <c r="N53" s="50"/>
      <c r="O53" s="50"/>
      <c r="P53" s="50"/>
      <c r="Q53" s="50"/>
      <c r="R53" s="51"/>
    </row>
    <row r="54" spans="1:18" ht="18" customHeight="1" x14ac:dyDescent="0.3">
      <c r="A54" s="18">
        <v>51</v>
      </c>
      <c r="B54" s="7">
        <f t="shared" ca="1" si="0"/>
        <v>44850.418499421299</v>
      </c>
      <c r="C54" s="8">
        <f t="shared" ca="1" si="1"/>
        <v>44850.418499421299</v>
      </c>
      <c r="D54" s="6" t="s">
        <v>75</v>
      </c>
      <c r="E54" s="6"/>
      <c r="F54" s="7">
        <f t="shared" si="2"/>
        <v>91</v>
      </c>
      <c r="G54" s="9">
        <f t="shared" ca="1" si="3"/>
        <v>-45595</v>
      </c>
      <c r="H54" s="9"/>
      <c r="I54" s="50"/>
      <c r="J54" s="50"/>
      <c r="K54" s="50"/>
      <c r="L54" s="50"/>
      <c r="M54" s="50"/>
      <c r="N54" s="50"/>
      <c r="O54" s="50"/>
      <c r="P54" s="50"/>
      <c r="Q54" s="50"/>
      <c r="R54" s="51"/>
    </row>
    <row r="55" spans="1:18" ht="18" customHeight="1" x14ac:dyDescent="0.3">
      <c r="A55" s="18">
        <v>52</v>
      </c>
      <c r="B55" s="7">
        <f t="shared" ca="1" si="0"/>
        <v>44850.41853333333</v>
      </c>
      <c r="C55" s="8">
        <f t="shared" ca="1" si="1"/>
        <v>44850.41853333333</v>
      </c>
      <c r="D55" s="6" t="s">
        <v>76</v>
      </c>
      <c r="E55" s="6"/>
      <c r="F55" s="7">
        <f t="shared" si="2"/>
        <v>91</v>
      </c>
      <c r="G55" s="9">
        <f t="shared" ca="1" si="3"/>
        <v>-45595</v>
      </c>
      <c r="H55" s="9"/>
      <c r="I55" s="50"/>
      <c r="J55" s="50"/>
      <c r="K55" s="50"/>
      <c r="L55" s="50"/>
      <c r="M55" s="50"/>
      <c r="N55" s="50"/>
      <c r="O55" s="50"/>
      <c r="P55" s="50"/>
      <c r="Q55" s="50"/>
      <c r="R55" s="51"/>
    </row>
    <row r="56" spans="1:18" ht="18" customHeight="1" x14ac:dyDescent="0.3">
      <c r="A56" s="18">
        <v>53</v>
      </c>
      <c r="B56" s="7">
        <f t="shared" ca="1" si="0"/>
        <v>44850.418549768518</v>
      </c>
      <c r="C56" s="8">
        <f t="shared" ca="1" si="1"/>
        <v>44850.418549768518</v>
      </c>
      <c r="D56" s="6" t="s">
        <v>77</v>
      </c>
      <c r="E56" s="6"/>
      <c r="F56" s="7">
        <f t="shared" si="2"/>
        <v>91</v>
      </c>
      <c r="G56" s="9">
        <f t="shared" ca="1" si="3"/>
        <v>-45595</v>
      </c>
      <c r="H56" s="9"/>
      <c r="I56" s="50"/>
      <c r="J56" s="50"/>
      <c r="K56" s="50"/>
      <c r="L56" s="50"/>
      <c r="M56" s="50"/>
      <c r="N56" s="50"/>
      <c r="O56" s="50"/>
      <c r="P56" s="50"/>
      <c r="Q56" s="50"/>
      <c r="R56" s="51"/>
    </row>
    <row r="57" spans="1:18" ht="18" customHeight="1" x14ac:dyDescent="0.3">
      <c r="A57" s="18">
        <v>54</v>
      </c>
      <c r="B57" s="7">
        <f t="shared" ca="1" si="0"/>
        <v>44850.418573379633</v>
      </c>
      <c r="C57" s="8">
        <f t="shared" ca="1" si="1"/>
        <v>44850.418573379633</v>
      </c>
      <c r="D57" s="6" t="s">
        <v>78</v>
      </c>
      <c r="E57" s="6"/>
      <c r="F57" s="7">
        <f t="shared" si="2"/>
        <v>91</v>
      </c>
      <c r="G57" s="9">
        <f t="shared" ca="1" si="3"/>
        <v>-45595</v>
      </c>
      <c r="H57" s="9"/>
      <c r="I57" s="50"/>
      <c r="J57" s="50"/>
      <c r="K57" s="50"/>
      <c r="L57" s="50"/>
      <c r="M57" s="50"/>
      <c r="N57" s="50"/>
      <c r="O57" s="50"/>
      <c r="P57" s="50"/>
      <c r="Q57" s="50"/>
      <c r="R57" s="51"/>
    </row>
    <row r="58" spans="1:18" ht="18" customHeight="1" x14ac:dyDescent="0.3">
      <c r="A58" s="18">
        <v>55</v>
      </c>
      <c r="B58" s="7">
        <f t="shared" ca="1" si="0"/>
        <v>44850.418589120367</v>
      </c>
      <c r="C58" s="8">
        <f t="shared" ca="1" si="1"/>
        <v>44850.418589120367</v>
      </c>
      <c r="D58" s="6" t="s">
        <v>79</v>
      </c>
      <c r="E58" s="6"/>
      <c r="F58" s="7">
        <f t="shared" si="2"/>
        <v>91</v>
      </c>
      <c r="G58" s="9">
        <f t="shared" ca="1" si="3"/>
        <v>-45595</v>
      </c>
      <c r="H58" s="9"/>
      <c r="I58" s="50"/>
      <c r="J58" s="50"/>
      <c r="K58" s="50"/>
      <c r="L58" s="50"/>
      <c r="M58" s="50"/>
      <c r="N58" s="50"/>
      <c r="O58" s="50"/>
      <c r="P58" s="50"/>
      <c r="Q58" s="50"/>
      <c r="R58" s="51"/>
    </row>
    <row r="59" spans="1:18" ht="18" customHeight="1" x14ac:dyDescent="0.3">
      <c r="A59" s="18">
        <v>56</v>
      </c>
      <c r="B59" s="7">
        <f t="shared" ca="1" si="0"/>
        <v>44850.418605671293</v>
      </c>
      <c r="C59" s="8">
        <f t="shared" ca="1" si="1"/>
        <v>44850.418605671293</v>
      </c>
      <c r="D59" s="6" t="s">
        <v>80</v>
      </c>
      <c r="E59" s="6"/>
      <c r="F59" s="7">
        <f t="shared" si="2"/>
        <v>91</v>
      </c>
      <c r="G59" s="9">
        <f t="shared" ca="1" si="3"/>
        <v>-45595</v>
      </c>
      <c r="H59" s="9"/>
      <c r="I59" s="50"/>
      <c r="J59" s="50"/>
      <c r="K59" s="50"/>
      <c r="L59" s="50"/>
      <c r="M59" s="50"/>
      <c r="N59" s="50"/>
      <c r="O59" s="50"/>
      <c r="P59" s="50"/>
      <c r="Q59" s="50"/>
      <c r="R59" s="51"/>
    </row>
    <row r="60" spans="1:18" ht="18" customHeight="1" x14ac:dyDescent="0.3">
      <c r="A60" s="18">
        <v>57</v>
      </c>
      <c r="B60" s="7">
        <f t="shared" ca="1" si="0"/>
        <v>44850.418623726851</v>
      </c>
      <c r="C60" s="8">
        <f t="shared" ca="1" si="1"/>
        <v>44850.418623726851</v>
      </c>
      <c r="D60" s="6" t="s">
        <v>81</v>
      </c>
      <c r="E60" s="6"/>
      <c r="F60" s="7">
        <f t="shared" si="2"/>
        <v>91</v>
      </c>
      <c r="G60" s="9">
        <f t="shared" ca="1" si="3"/>
        <v>-45595</v>
      </c>
      <c r="H60" s="9"/>
      <c r="I60" s="50"/>
      <c r="J60" s="50"/>
      <c r="K60" s="50"/>
      <c r="L60" s="50"/>
      <c r="M60" s="50"/>
      <c r="N60" s="50"/>
      <c r="O60" s="50"/>
      <c r="P60" s="50"/>
      <c r="Q60" s="50"/>
      <c r="R60" s="51"/>
    </row>
    <row r="61" spans="1:18" ht="18" customHeight="1" x14ac:dyDescent="0.3">
      <c r="A61" s="18">
        <v>58</v>
      </c>
      <c r="B61" s="7">
        <f t="shared" ca="1" si="0"/>
        <v>44850.418638773146</v>
      </c>
      <c r="C61" s="8">
        <f t="shared" ca="1" si="1"/>
        <v>44850.418638773146</v>
      </c>
      <c r="D61" s="6" t="s">
        <v>82</v>
      </c>
      <c r="E61" s="6"/>
      <c r="F61" s="7">
        <f t="shared" si="2"/>
        <v>91</v>
      </c>
      <c r="G61" s="9">
        <f t="shared" ca="1" si="3"/>
        <v>-45595</v>
      </c>
      <c r="H61" s="9"/>
      <c r="I61" s="50"/>
      <c r="J61" s="50"/>
      <c r="K61" s="50"/>
      <c r="L61" s="50"/>
      <c r="M61" s="50"/>
      <c r="N61" s="50"/>
      <c r="O61" s="50"/>
      <c r="P61" s="50"/>
      <c r="Q61" s="50"/>
      <c r="R61" s="51"/>
    </row>
    <row r="62" spans="1:18" ht="18" customHeight="1" x14ac:dyDescent="0.3">
      <c r="A62" s="18">
        <v>59</v>
      </c>
      <c r="B62" s="7">
        <f t="shared" ca="1" si="0"/>
        <v>44850.418653819448</v>
      </c>
      <c r="C62" s="8">
        <f t="shared" ca="1" si="1"/>
        <v>44850.418653819448</v>
      </c>
      <c r="D62" s="6" t="s">
        <v>83</v>
      </c>
      <c r="E62" s="6"/>
      <c r="F62" s="7">
        <f t="shared" si="2"/>
        <v>91</v>
      </c>
      <c r="G62" s="9">
        <f t="shared" ca="1" si="3"/>
        <v>-45595</v>
      </c>
      <c r="H62" s="9"/>
      <c r="I62" s="50"/>
      <c r="J62" s="50"/>
      <c r="K62" s="50"/>
      <c r="L62" s="50"/>
      <c r="M62" s="50"/>
      <c r="N62" s="50"/>
      <c r="O62" s="50"/>
      <c r="P62" s="50"/>
      <c r="Q62" s="50"/>
      <c r="R62" s="51"/>
    </row>
    <row r="63" spans="1:18" ht="18" customHeight="1" x14ac:dyDescent="0.3">
      <c r="A63" s="18">
        <v>60</v>
      </c>
      <c r="B63" s="7">
        <f t="shared" ca="1" si="0"/>
        <v>44850.418674652778</v>
      </c>
      <c r="C63" s="8">
        <f t="shared" ca="1" si="1"/>
        <v>44850.418674652778</v>
      </c>
      <c r="D63" s="6" t="s">
        <v>84</v>
      </c>
      <c r="E63" s="6"/>
      <c r="F63" s="7">
        <f t="shared" si="2"/>
        <v>91</v>
      </c>
      <c r="G63" s="9">
        <f t="shared" ca="1" si="3"/>
        <v>-45595</v>
      </c>
      <c r="H63" s="9"/>
      <c r="I63" s="50"/>
      <c r="J63" s="50"/>
      <c r="K63" s="50"/>
      <c r="L63" s="50"/>
      <c r="M63" s="50"/>
      <c r="N63" s="50"/>
      <c r="O63" s="50"/>
      <c r="P63" s="50"/>
      <c r="Q63" s="50"/>
      <c r="R63" s="51"/>
    </row>
    <row r="64" spans="1:18" ht="18" customHeight="1" x14ac:dyDescent="0.3">
      <c r="A64" s="18">
        <v>61</v>
      </c>
      <c r="B64" s="7">
        <f t="shared" ca="1" si="0"/>
        <v>44850.418710763886</v>
      </c>
      <c r="C64" s="8">
        <f t="shared" ca="1" si="1"/>
        <v>44850.418710763886</v>
      </c>
      <c r="D64" s="6" t="s">
        <v>85</v>
      </c>
      <c r="E64" s="6"/>
      <c r="F64" s="7">
        <f t="shared" si="2"/>
        <v>91</v>
      </c>
      <c r="G64" s="9">
        <f t="shared" ca="1" si="3"/>
        <v>-45595</v>
      </c>
      <c r="H64" s="9"/>
      <c r="I64" s="50"/>
      <c r="J64" s="50"/>
      <c r="K64" s="50"/>
      <c r="L64" s="50"/>
      <c r="M64" s="50"/>
      <c r="N64" s="50"/>
      <c r="O64" s="50"/>
      <c r="P64" s="50"/>
      <c r="Q64" s="50"/>
      <c r="R64" s="51"/>
    </row>
    <row r="65" spans="1:18" ht="18" customHeight="1" x14ac:dyDescent="0.3">
      <c r="A65" s="18">
        <v>62</v>
      </c>
      <c r="B65" s="7">
        <f t="shared" ca="1" si="0"/>
        <v>44850.418755555555</v>
      </c>
      <c r="C65" s="8">
        <f t="shared" ca="1" si="1"/>
        <v>44850.418755555555</v>
      </c>
      <c r="D65" s="6" t="s">
        <v>86</v>
      </c>
      <c r="E65" s="6"/>
      <c r="F65" s="7">
        <f t="shared" si="2"/>
        <v>91</v>
      </c>
      <c r="G65" s="9">
        <f t="shared" ca="1" si="3"/>
        <v>-45595</v>
      </c>
      <c r="H65" s="9"/>
      <c r="I65" s="50"/>
      <c r="J65" s="50"/>
      <c r="K65" s="50"/>
      <c r="L65" s="50"/>
      <c r="M65" s="50"/>
      <c r="N65" s="50"/>
      <c r="O65" s="50"/>
      <c r="P65" s="50"/>
      <c r="Q65" s="50"/>
      <c r="R65" s="51"/>
    </row>
    <row r="66" spans="1:18" ht="18" customHeight="1" x14ac:dyDescent="0.3">
      <c r="A66" s="18">
        <v>63</v>
      </c>
      <c r="B66" s="7">
        <f t="shared" ca="1" si="0"/>
        <v>44850.41877546296</v>
      </c>
      <c r="C66" s="8">
        <f t="shared" ca="1" si="1"/>
        <v>44850.41877546296</v>
      </c>
      <c r="D66" s="6" t="s">
        <v>87</v>
      </c>
      <c r="E66" s="6"/>
      <c r="F66" s="7">
        <f t="shared" si="2"/>
        <v>91</v>
      </c>
      <c r="G66" s="9">
        <f t="shared" ca="1" si="3"/>
        <v>-45595</v>
      </c>
      <c r="H66" s="9"/>
      <c r="I66" s="50"/>
      <c r="J66" s="50"/>
      <c r="K66" s="50"/>
      <c r="L66" s="50"/>
      <c r="M66" s="50"/>
      <c r="N66" s="50"/>
      <c r="O66" s="50"/>
      <c r="P66" s="50"/>
      <c r="Q66" s="50"/>
      <c r="R66" s="51"/>
    </row>
    <row r="67" spans="1:18" ht="18" customHeight="1" x14ac:dyDescent="0.3">
      <c r="A67" s="18">
        <v>64</v>
      </c>
      <c r="B67" s="7">
        <f t="shared" ca="1" si="0"/>
        <v>44850.418793865741</v>
      </c>
      <c r="C67" s="8">
        <f t="shared" ca="1" si="1"/>
        <v>44850.418793865741</v>
      </c>
      <c r="D67" s="6" t="s">
        <v>88</v>
      </c>
      <c r="E67" s="6"/>
      <c r="F67" s="7">
        <f t="shared" si="2"/>
        <v>91</v>
      </c>
      <c r="G67" s="9">
        <f t="shared" ca="1" si="3"/>
        <v>-45595</v>
      </c>
      <c r="H67" s="9"/>
      <c r="I67" s="50"/>
      <c r="J67" s="50"/>
      <c r="K67" s="50"/>
      <c r="L67" s="50"/>
      <c r="M67" s="50"/>
      <c r="N67" s="50"/>
      <c r="O67" s="50"/>
      <c r="P67" s="50"/>
      <c r="Q67" s="50"/>
      <c r="R67" s="51"/>
    </row>
    <row r="68" spans="1:18" ht="18" customHeight="1" x14ac:dyDescent="0.3">
      <c r="A68" s="18">
        <v>65</v>
      </c>
      <c r="B68" s="7">
        <f t="shared" ref="B68:B131" ca="1" si="4">IF(D68 &lt;&gt;"", IF(B68 ="", NOW(), B68), "")</f>
        <v>44850.418808449074</v>
      </c>
      <c r="C68" s="8">
        <f t="shared" ref="C68:C131" ca="1" si="5">IF(D68 &lt;&gt;"", IF(C68 ="", NOW(), C68), "")</f>
        <v>44850.418808449074</v>
      </c>
      <c r="D68" s="6" t="s">
        <v>89</v>
      </c>
      <c r="E68" s="6"/>
      <c r="F68" s="7">
        <f t="shared" ref="F68:F131" si="6">EDATE(E68,3)-0</f>
        <v>91</v>
      </c>
      <c r="G68" s="9">
        <f t="shared" ref="G68:G131" ca="1" si="7">E68-TODAY()</f>
        <v>-45595</v>
      </c>
      <c r="H68" s="9"/>
      <c r="I68" s="50"/>
      <c r="J68" s="50"/>
      <c r="K68" s="50"/>
      <c r="L68" s="50"/>
      <c r="M68" s="50"/>
      <c r="N68" s="50"/>
      <c r="O68" s="50"/>
      <c r="P68" s="50"/>
      <c r="Q68" s="50"/>
      <c r="R68" s="51"/>
    </row>
    <row r="69" spans="1:18" ht="18" customHeight="1" x14ac:dyDescent="0.3">
      <c r="A69" s="18">
        <v>66</v>
      </c>
      <c r="B69" s="7">
        <f t="shared" ca="1" si="4"/>
        <v>44850.418824305554</v>
      </c>
      <c r="C69" s="8">
        <f t="shared" ca="1" si="5"/>
        <v>44850.418824305554</v>
      </c>
      <c r="D69" s="6" t="s">
        <v>90</v>
      </c>
      <c r="E69" s="6"/>
      <c r="F69" s="7">
        <f t="shared" si="6"/>
        <v>91</v>
      </c>
      <c r="G69" s="9">
        <f t="shared" ca="1" si="7"/>
        <v>-45595</v>
      </c>
      <c r="H69" s="9"/>
      <c r="I69" s="50"/>
      <c r="J69" s="50"/>
      <c r="K69" s="50"/>
      <c r="L69" s="50"/>
      <c r="M69" s="50"/>
      <c r="N69" s="50"/>
      <c r="O69" s="50"/>
      <c r="P69" s="50"/>
      <c r="Q69" s="50"/>
      <c r="R69" s="51"/>
    </row>
    <row r="70" spans="1:18" ht="18" customHeight="1" x14ac:dyDescent="0.3">
      <c r="A70" s="18">
        <v>67</v>
      </c>
      <c r="B70" s="7">
        <f t="shared" ca="1" si="4"/>
        <v>44850.418839699072</v>
      </c>
      <c r="C70" s="8">
        <f t="shared" ca="1" si="5"/>
        <v>44850.418839699072</v>
      </c>
      <c r="D70" s="6" t="s">
        <v>91</v>
      </c>
      <c r="E70" s="6"/>
      <c r="F70" s="7">
        <f t="shared" si="6"/>
        <v>91</v>
      </c>
      <c r="G70" s="9">
        <f t="shared" ca="1" si="7"/>
        <v>-45595</v>
      </c>
      <c r="H70" s="9"/>
      <c r="I70" s="50"/>
      <c r="J70" s="50"/>
      <c r="K70" s="50"/>
      <c r="L70" s="50"/>
      <c r="M70" s="50"/>
      <c r="N70" s="50"/>
      <c r="O70" s="50"/>
      <c r="P70" s="50"/>
      <c r="Q70" s="50"/>
      <c r="R70" s="51"/>
    </row>
    <row r="71" spans="1:18" ht="18" customHeight="1" x14ac:dyDescent="0.3">
      <c r="A71" s="18">
        <v>68</v>
      </c>
      <c r="B71" s="7">
        <f t="shared" ca="1" si="4"/>
        <v>44850.418859606485</v>
      </c>
      <c r="C71" s="8">
        <f t="shared" ca="1" si="5"/>
        <v>44850.418859606485</v>
      </c>
      <c r="D71" s="6" t="s">
        <v>92</v>
      </c>
      <c r="E71" s="6"/>
      <c r="F71" s="7">
        <f t="shared" si="6"/>
        <v>91</v>
      </c>
      <c r="G71" s="9">
        <f t="shared" ca="1" si="7"/>
        <v>-45595</v>
      </c>
      <c r="H71" s="9"/>
      <c r="I71" s="50"/>
      <c r="J71" s="50"/>
      <c r="K71" s="50"/>
      <c r="L71" s="50"/>
      <c r="M71" s="50"/>
      <c r="N71" s="50"/>
      <c r="O71" s="50"/>
      <c r="P71" s="50"/>
      <c r="Q71" s="50"/>
      <c r="R71" s="51"/>
    </row>
    <row r="72" spans="1:18" ht="18" customHeight="1" x14ac:dyDescent="0.3">
      <c r="A72" s="18">
        <v>69</v>
      </c>
      <c r="B72" s="7">
        <f t="shared" ca="1" si="4"/>
        <v>44850.418874884257</v>
      </c>
      <c r="C72" s="8">
        <f t="shared" ca="1" si="5"/>
        <v>44850.418874884257</v>
      </c>
      <c r="D72" s="6" t="s">
        <v>93</v>
      </c>
      <c r="E72" s="6"/>
      <c r="F72" s="7">
        <f t="shared" si="6"/>
        <v>91</v>
      </c>
      <c r="G72" s="9">
        <f t="shared" ca="1" si="7"/>
        <v>-45595</v>
      </c>
      <c r="H72" s="9"/>
      <c r="I72" s="50"/>
      <c r="J72" s="50"/>
      <c r="K72" s="50"/>
      <c r="L72" s="50"/>
      <c r="M72" s="50"/>
      <c r="N72" s="50"/>
      <c r="O72" s="50"/>
      <c r="P72" s="50"/>
      <c r="Q72" s="50"/>
      <c r="R72" s="51"/>
    </row>
    <row r="73" spans="1:18" ht="18" customHeight="1" x14ac:dyDescent="0.3">
      <c r="A73" s="18">
        <v>70</v>
      </c>
      <c r="B73" s="7">
        <f t="shared" ca="1" si="4"/>
        <v>44850.41889108796</v>
      </c>
      <c r="C73" s="8">
        <f t="shared" ca="1" si="5"/>
        <v>44850.41889108796</v>
      </c>
      <c r="D73" s="6" t="s">
        <v>94</v>
      </c>
      <c r="E73" s="6"/>
      <c r="F73" s="7">
        <f t="shared" si="6"/>
        <v>91</v>
      </c>
      <c r="G73" s="9">
        <f t="shared" ca="1" si="7"/>
        <v>-45595</v>
      </c>
      <c r="H73" s="9"/>
      <c r="I73" s="50"/>
      <c r="J73" s="50"/>
      <c r="K73" s="50"/>
      <c r="L73" s="50"/>
      <c r="M73" s="50"/>
      <c r="N73" s="50"/>
      <c r="O73" s="50"/>
      <c r="P73" s="50"/>
      <c r="Q73" s="50"/>
      <c r="R73" s="51"/>
    </row>
    <row r="74" spans="1:18" ht="18" customHeight="1" x14ac:dyDescent="0.3">
      <c r="A74" s="18">
        <v>71</v>
      </c>
      <c r="B74" s="7">
        <f t="shared" ca="1" si="4"/>
        <v>44850.418910185188</v>
      </c>
      <c r="C74" s="8">
        <f t="shared" ca="1" si="5"/>
        <v>44850.418910185188</v>
      </c>
      <c r="D74" s="6" t="s">
        <v>95</v>
      </c>
      <c r="E74" s="6"/>
      <c r="F74" s="7">
        <f t="shared" si="6"/>
        <v>91</v>
      </c>
      <c r="G74" s="9">
        <f t="shared" ca="1" si="7"/>
        <v>-45595</v>
      </c>
      <c r="H74" s="9"/>
      <c r="I74" s="50"/>
      <c r="J74" s="50"/>
      <c r="K74" s="50"/>
      <c r="L74" s="50"/>
      <c r="M74" s="50"/>
      <c r="N74" s="50"/>
      <c r="O74" s="50"/>
      <c r="P74" s="50"/>
      <c r="Q74" s="50"/>
      <c r="R74" s="51"/>
    </row>
    <row r="75" spans="1:18" ht="18" customHeight="1" x14ac:dyDescent="0.3">
      <c r="A75" s="18">
        <v>72</v>
      </c>
      <c r="B75" s="7">
        <f t="shared" ca="1" si="4"/>
        <v>44850.418926851853</v>
      </c>
      <c r="C75" s="8">
        <f t="shared" ca="1" si="5"/>
        <v>44850.418926851853</v>
      </c>
      <c r="D75" s="6" t="s">
        <v>96</v>
      </c>
      <c r="E75" s="6"/>
      <c r="F75" s="7">
        <f t="shared" si="6"/>
        <v>91</v>
      </c>
      <c r="G75" s="9">
        <f t="shared" ca="1" si="7"/>
        <v>-45595</v>
      </c>
      <c r="H75" s="9"/>
      <c r="I75" s="50"/>
      <c r="J75" s="50"/>
      <c r="K75" s="50"/>
      <c r="L75" s="50"/>
      <c r="M75" s="50"/>
      <c r="N75" s="50"/>
      <c r="O75" s="50"/>
      <c r="P75" s="50"/>
      <c r="Q75" s="50"/>
      <c r="R75" s="51"/>
    </row>
    <row r="76" spans="1:18" ht="18" customHeight="1" x14ac:dyDescent="0.3">
      <c r="A76" s="18">
        <v>73</v>
      </c>
      <c r="B76" s="7">
        <f t="shared" ca="1" si="4"/>
        <v>44850.418944791665</v>
      </c>
      <c r="C76" s="8">
        <f t="shared" ca="1" si="5"/>
        <v>44850.418944791665</v>
      </c>
      <c r="D76" s="6" t="s">
        <v>97</v>
      </c>
      <c r="E76" s="6"/>
      <c r="F76" s="7">
        <f t="shared" si="6"/>
        <v>91</v>
      </c>
      <c r="G76" s="9">
        <f t="shared" ca="1" si="7"/>
        <v>-45595</v>
      </c>
      <c r="H76" s="9"/>
      <c r="I76" s="50"/>
      <c r="J76" s="50"/>
      <c r="K76" s="50"/>
      <c r="L76" s="50"/>
      <c r="M76" s="50"/>
      <c r="N76" s="50"/>
      <c r="O76" s="50"/>
      <c r="P76" s="50"/>
      <c r="Q76" s="50"/>
      <c r="R76" s="51"/>
    </row>
    <row r="77" spans="1:18" ht="18" customHeight="1" x14ac:dyDescent="0.3">
      <c r="A77" s="18">
        <v>74</v>
      </c>
      <c r="B77" s="7">
        <f t="shared" ca="1" si="4"/>
        <v>44850.418961342592</v>
      </c>
      <c r="C77" s="8">
        <f t="shared" ca="1" si="5"/>
        <v>44850.418961342592</v>
      </c>
      <c r="D77" s="6" t="s">
        <v>98</v>
      </c>
      <c r="E77" s="6"/>
      <c r="F77" s="7">
        <f t="shared" si="6"/>
        <v>91</v>
      </c>
      <c r="G77" s="9">
        <f t="shared" ca="1" si="7"/>
        <v>-45595</v>
      </c>
      <c r="H77" s="9"/>
      <c r="I77" s="50"/>
      <c r="J77" s="50"/>
      <c r="K77" s="50"/>
      <c r="L77" s="50"/>
      <c r="M77" s="50"/>
      <c r="N77" s="50"/>
      <c r="O77" s="50"/>
      <c r="P77" s="50"/>
      <c r="Q77" s="50"/>
      <c r="R77" s="51"/>
    </row>
    <row r="78" spans="1:18" ht="18" customHeight="1" x14ac:dyDescent="0.3">
      <c r="A78" s="18">
        <v>75</v>
      </c>
      <c r="B78" s="7">
        <f t="shared" ca="1" si="4"/>
        <v>44850.418977083333</v>
      </c>
      <c r="C78" s="8">
        <f t="shared" ca="1" si="5"/>
        <v>44850.418977083333</v>
      </c>
      <c r="D78" s="6" t="s">
        <v>99</v>
      </c>
      <c r="E78" s="6"/>
      <c r="F78" s="7">
        <f t="shared" si="6"/>
        <v>91</v>
      </c>
      <c r="G78" s="9">
        <f t="shared" ca="1" si="7"/>
        <v>-45595</v>
      </c>
      <c r="H78" s="9"/>
      <c r="I78" s="50"/>
      <c r="J78" s="50"/>
      <c r="K78" s="50"/>
      <c r="L78" s="50"/>
      <c r="M78" s="50"/>
      <c r="N78" s="50"/>
      <c r="O78" s="50"/>
      <c r="P78" s="50"/>
      <c r="Q78" s="50"/>
      <c r="R78" s="51"/>
    </row>
    <row r="79" spans="1:18" ht="18" customHeight="1" x14ac:dyDescent="0.3">
      <c r="A79" s="18">
        <v>76</v>
      </c>
      <c r="B79" s="7">
        <f t="shared" ca="1" si="4"/>
        <v>44850.418994097221</v>
      </c>
      <c r="C79" s="8">
        <f t="shared" ca="1" si="5"/>
        <v>44850.418994097221</v>
      </c>
      <c r="D79" s="6" t="s">
        <v>100</v>
      </c>
      <c r="E79" s="6"/>
      <c r="F79" s="7">
        <f t="shared" si="6"/>
        <v>91</v>
      </c>
      <c r="G79" s="9">
        <f t="shared" ca="1" si="7"/>
        <v>-45595</v>
      </c>
      <c r="H79" s="9"/>
      <c r="I79" s="50"/>
      <c r="J79" s="50"/>
      <c r="K79" s="50"/>
      <c r="L79" s="50"/>
      <c r="M79" s="50"/>
      <c r="N79" s="50"/>
      <c r="O79" s="50"/>
      <c r="P79" s="50"/>
      <c r="Q79" s="50"/>
      <c r="R79" s="51"/>
    </row>
    <row r="80" spans="1:18" ht="18" customHeight="1" x14ac:dyDescent="0.3">
      <c r="A80" s="18">
        <v>77</v>
      </c>
      <c r="B80" s="7">
        <f t="shared" ca="1" si="4"/>
        <v>44850.419063541667</v>
      </c>
      <c r="C80" s="8">
        <f t="shared" ca="1" si="5"/>
        <v>44850.419063541667</v>
      </c>
      <c r="D80" s="6" t="s">
        <v>101</v>
      </c>
      <c r="E80" s="6"/>
      <c r="F80" s="7">
        <f t="shared" si="6"/>
        <v>91</v>
      </c>
      <c r="G80" s="9">
        <f t="shared" ca="1" si="7"/>
        <v>-45595</v>
      </c>
      <c r="H80" s="9"/>
      <c r="I80" s="50"/>
      <c r="J80" s="50"/>
      <c r="K80" s="50"/>
      <c r="L80" s="50"/>
      <c r="M80" s="50"/>
      <c r="N80" s="50"/>
      <c r="O80" s="50"/>
      <c r="P80" s="50"/>
      <c r="Q80" s="50"/>
      <c r="R80" s="51"/>
    </row>
    <row r="81" spans="1:18" ht="18" customHeight="1" x14ac:dyDescent="0.3">
      <c r="A81" s="18">
        <v>78</v>
      </c>
      <c r="B81" s="7">
        <f t="shared" ca="1" si="4"/>
        <v>44850.419082291664</v>
      </c>
      <c r="C81" s="8">
        <f t="shared" ca="1" si="5"/>
        <v>44850.419082291664</v>
      </c>
      <c r="D81" s="6" t="s">
        <v>102</v>
      </c>
      <c r="E81" s="6"/>
      <c r="F81" s="7">
        <f t="shared" si="6"/>
        <v>91</v>
      </c>
      <c r="G81" s="9">
        <f t="shared" ca="1" si="7"/>
        <v>-45595</v>
      </c>
      <c r="H81" s="9"/>
      <c r="I81" s="50"/>
      <c r="J81" s="50"/>
      <c r="K81" s="50"/>
      <c r="L81" s="50"/>
      <c r="M81" s="50"/>
      <c r="N81" s="50"/>
      <c r="O81" s="50"/>
      <c r="P81" s="50"/>
      <c r="Q81" s="50"/>
      <c r="R81" s="51"/>
    </row>
    <row r="82" spans="1:18" ht="18" customHeight="1" x14ac:dyDescent="0.3">
      <c r="A82" s="18">
        <v>79</v>
      </c>
      <c r="B82" s="7">
        <f t="shared" ca="1" si="4"/>
        <v>44850.419103009262</v>
      </c>
      <c r="C82" s="8">
        <f t="shared" ca="1" si="5"/>
        <v>44850.419103009262</v>
      </c>
      <c r="D82" s="6" t="s">
        <v>103</v>
      </c>
      <c r="E82" s="6"/>
      <c r="F82" s="7">
        <f t="shared" si="6"/>
        <v>91</v>
      </c>
      <c r="G82" s="9">
        <f t="shared" ca="1" si="7"/>
        <v>-45595</v>
      </c>
      <c r="H82" s="9"/>
      <c r="I82" s="50"/>
      <c r="J82" s="50"/>
      <c r="K82" s="50"/>
      <c r="L82" s="50"/>
      <c r="M82" s="50"/>
      <c r="N82" s="50"/>
      <c r="O82" s="50"/>
      <c r="P82" s="50"/>
      <c r="Q82" s="50"/>
      <c r="R82" s="51"/>
    </row>
    <row r="83" spans="1:18" ht="18" customHeight="1" x14ac:dyDescent="0.3">
      <c r="A83" s="18">
        <v>80</v>
      </c>
      <c r="B83" s="7">
        <f t="shared" ca="1" si="4"/>
        <v>44850.419146990738</v>
      </c>
      <c r="C83" s="8">
        <f t="shared" ca="1" si="5"/>
        <v>44850.419146990738</v>
      </c>
      <c r="D83" s="6" t="s">
        <v>104</v>
      </c>
      <c r="E83" s="6"/>
      <c r="F83" s="7">
        <f t="shared" si="6"/>
        <v>91</v>
      </c>
      <c r="G83" s="9">
        <f t="shared" ca="1" si="7"/>
        <v>-45595</v>
      </c>
      <c r="H83" s="9"/>
      <c r="I83" s="50"/>
      <c r="J83" s="50"/>
      <c r="K83" s="50"/>
      <c r="L83" s="50"/>
      <c r="M83" s="50"/>
      <c r="N83" s="50"/>
      <c r="O83" s="50"/>
      <c r="P83" s="50"/>
      <c r="Q83" s="50"/>
      <c r="R83" s="51"/>
    </row>
    <row r="84" spans="1:18" ht="18" customHeight="1" x14ac:dyDescent="0.3">
      <c r="A84" s="18">
        <v>81</v>
      </c>
      <c r="B84" s="7">
        <f t="shared" ca="1" si="4"/>
        <v>44850.419162847225</v>
      </c>
      <c r="C84" s="8">
        <f t="shared" ca="1" si="5"/>
        <v>44850.419162847225</v>
      </c>
      <c r="D84" s="6" t="s">
        <v>105</v>
      </c>
      <c r="E84" s="6"/>
      <c r="F84" s="7">
        <f t="shared" si="6"/>
        <v>91</v>
      </c>
      <c r="G84" s="9">
        <f t="shared" ca="1" si="7"/>
        <v>-45595</v>
      </c>
      <c r="H84" s="9"/>
      <c r="I84" s="50"/>
      <c r="J84" s="50"/>
      <c r="K84" s="50"/>
      <c r="L84" s="50"/>
      <c r="M84" s="50"/>
      <c r="N84" s="50"/>
      <c r="O84" s="50"/>
      <c r="P84" s="50"/>
      <c r="Q84" s="50"/>
      <c r="R84" s="51"/>
    </row>
    <row r="85" spans="1:18" ht="18" customHeight="1" x14ac:dyDescent="0.3">
      <c r="A85" s="18">
        <v>82</v>
      </c>
      <c r="B85" s="7">
        <f t="shared" ca="1" si="4"/>
        <v>44850.419179166667</v>
      </c>
      <c r="C85" s="8">
        <f t="shared" ca="1" si="5"/>
        <v>44850.419179282406</v>
      </c>
      <c r="D85" s="6" t="s">
        <v>106</v>
      </c>
      <c r="E85" s="6"/>
      <c r="F85" s="7">
        <f t="shared" si="6"/>
        <v>91</v>
      </c>
      <c r="G85" s="9">
        <f t="shared" ca="1" si="7"/>
        <v>-45595</v>
      </c>
      <c r="H85" s="9"/>
      <c r="I85" s="50"/>
      <c r="J85" s="50"/>
      <c r="K85" s="50"/>
      <c r="L85" s="50"/>
      <c r="M85" s="50"/>
      <c r="N85" s="50"/>
      <c r="O85" s="50"/>
      <c r="P85" s="50"/>
      <c r="Q85" s="50"/>
      <c r="R85" s="51"/>
    </row>
    <row r="86" spans="1:18" ht="18" customHeight="1" x14ac:dyDescent="0.3">
      <c r="A86" s="18">
        <v>83</v>
      </c>
      <c r="B86" s="7">
        <f t="shared" ca="1" si="4"/>
        <v>44850.419260300929</v>
      </c>
      <c r="C86" s="8">
        <f t="shared" ca="1" si="5"/>
        <v>44850.419260300929</v>
      </c>
      <c r="D86" s="6" t="s">
        <v>107</v>
      </c>
      <c r="E86" s="6"/>
      <c r="F86" s="7">
        <f t="shared" si="6"/>
        <v>91</v>
      </c>
      <c r="G86" s="9">
        <f t="shared" ca="1" si="7"/>
        <v>-45595</v>
      </c>
      <c r="H86" s="9"/>
      <c r="I86" s="50"/>
      <c r="J86" s="50"/>
      <c r="K86" s="50"/>
      <c r="L86" s="50"/>
      <c r="M86" s="50"/>
      <c r="N86" s="50"/>
      <c r="O86" s="50"/>
      <c r="P86" s="50"/>
      <c r="Q86" s="50"/>
      <c r="R86" s="51"/>
    </row>
    <row r="87" spans="1:18" ht="18" customHeight="1" x14ac:dyDescent="0.3">
      <c r="A87" s="18">
        <v>84</v>
      </c>
      <c r="B87" s="7">
        <f t="shared" ca="1" si="4"/>
        <v>44850.419280208334</v>
      </c>
      <c r="C87" s="8">
        <f t="shared" ca="1" si="5"/>
        <v>44850.419280208334</v>
      </c>
      <c r="D87" s="6" t="s">
        <v>108</v>
      </c>
      <c r="E87" s="6"/>
      <c r="F87" s="7">
        <f t="shared" si="6"/>
        <v>91</v>
      </c>
      <c r="G87" s="9">
        <f t="shared" ca="1" si="7"/>
        <v>-45595</v>
      </c>
      <c r="H87" s="9"/>
      <c r="I87" s="50"/>
      <c r="J87" s="50"/>
      <c r="K87" s="50"/>
      <c r="L87" s="50"/>
      <c r="M87" s="50"/>
      <c r="N87" s="50"/>
      <c r="O87" s="50"/>
      <c r="P87" s="50"/>
      <c r="Q87" s="50"/>
      <c r="R87" s="51"/>
    </row>
    <row r="88" spans="1:18" ht="18" customHeight="1" x14ac:dyDescent="0.3">
      <c r="A88" s="18">
        <v>85</v>
      </c>
      <c r="B88" s="7">
        <f t="shared" ca="1" si="4"/>
        <v>44850.419305671297</v>
      </c>
      <c r="C88" s="8">
        <f t="shared" ca="1" si="5"/>
        <v>44850.419305671297</v>
      </c>
      <c r="D88" s="6" t="s">
        <v>109</v>
      </c>
      <c r="E88" s="6"/>
      <c r="F88" s="7">
        <f t="shared" si="6"/>
        <v>91</v>
      </c>
      <c r="G88" s="9">
        <f t="shared" ca="1" si="7"/>
        <v>-45595</v>
      </c>
      <c r="H88" s="9"/>
      <c r="I88" s="50"/>
      <c r="J88" s="50"/>
      <c r="K88" s="50"/>
      <c r="L88" s="50"/>
      <c r="M88" s="50"/>
      <c r="N88" s="50"/>
      <c r="O88" s="50"/>
      <c r="P88" s="50"/>
      <c r="Q88" s="50"/>
      <c r="R88" s="51"/>
    </row>
    <row r="89" spans="1:18" ht="18" customHeight="1" x14ac:dyDescent="0.3">
      <c r="A89" s="18">
        <v>86</v>
      </c>
      <c r="B89" s="7">
        <f t="shared" ca="1" si="4"/>
        <v>44850.419322453701</v>
      </c>
      <c r="C89" s="8">
        <f t="shared" ca="1" si="5"/>
        <v>44850.419322453701</v>
      </c>
      <c r="D89" s="6" t="s">
        <v>110</v>
      </c>
      <c r="E89" s="6"/>
      <c r="F89" s="7">
        <f t="shared" si="6"/>
        <v>91</v>
      </c>
      <c r="G89" s="9">
        <f t="shared" ca="1" si="7"/>
        <v>-45595</v>
      </c>
      <c r="H89" s="9"/>
      <c r="I89" s="50"/>
      <c r="J89" s="50"/>
      <c r="K89" s="50"/>
      <c r="L89" s="50"/>
      <c r="M89" s="50"/>
      <c r="N89" s="50"/>
      <c r="O89" s="50"/>
      <c r="P89" s="50"/>
      <c r="Q89" s="50"/>
      <c r="R89" s="51"/>
    </row>
    <row r="90" spans="1:18" ht="18" customHeight="1" x14ac:dyDescent="0.3">
      <c r="A90" s="18">
        <v>87</v>
      </c>
      <c r="B90" s="7">
        <f t="shared" ca="1" si="4"/>
        <v>44850.419339930559</v>
      </c>
      <c r="C90" s="8">
        <f t="shared" ca="1" si="5"/>
        <v>44850.419339930559</v>
      </c>
      <c r="D90" s="6" t="s">
        <v>111</v>
      </c>
      <c r="E90" s="6"/>
      <c r="F90" s="7">
        <f t="shared" si="6"/>
        <v>91</v>
      </c>
      <c r="G90" s="9">
        <f t="shared" ca="1" si="7"/>
        <v>-45595</v>
      </c>
      <c r="H90" s="9"/>
      <c r="I90" s="50"/>
      <c r="J90" s="50"/>
      <c r="K90" s="50"/>
      <c r="L90" s="50"/>
      <c r="M90" s="50"/>
      <c r="N90" s="50"/>
      <c r="O90" s="50"/>
      <c r="P90" s="50"/>
      <c r="Q90" s="50"/>
      <c r="R90" s="51"/>
    </row>
    <row r="91" spans="1:18" ht="18" customHeight="1" x14ac:dyDescent="0.3">
      <c r="A91" s="18">
        <v>88</v>
      </c>
      <c r="B91" s="7">
        <f t="shared" ca="1" si="4"/>
        <v>44850.419357523147</v>
      </c>
      <c r="C91" s="8">
        <f t="shared" ca="1" si="5"/>
        <v>44850.419357523147</v>
      </c>
      <c r="D91" s="6" t="s">
        <v>112</v>
      </c>
      <c r="E91" s="6"/>
      <c r="F91" s="7">
        <f t="shared" si="6"/>
        <v>91</v>
      </c>
      <c r="G91" s="9">
        <f t="shared" ca="1" si="7"/>
        <v>-45595</v>
      </c>
      <c r="H91" s="9"/>
      <c r="I91" s="50"/>
      <c r="J91" s="50"/>
      <c r="K91" s="50"/>
      <c r="L91" s="50"/>
      <c r="M91" s="50"/>
      <c r="N91" s="50"/>
      <c r="O91" s="50"/>
      <c r="P91" s="50"/>
      <c r="Q91" s="50"/>
      <c r="R91" s="51"/>
    </row>
    <row r="92" spans="1:18" ht="18" customHeight="1" x14ac:dyDescent="0.3">
      <c r="A92" s="18">
        <v>89</v>
      </c>
      <c r="B92" s="7">
        <f t="shared" ca="1" si="4"/>
        <v>44850.419376157406</v>
      </c>
      <c r="C92" s="8">
        <f t="shared" ca="1" si="5"/>
        <v>44850.419376157406</v>
      </c>
      <c r="D92" s="6" t="s">
        <v>113</v>
      </c>
      <c r="E92" s="6"/>
      <c r="F92" s="7">
        <f t="shared" si="6"/>
        <v>91</v>
      </c>
      <c r="G92" s="9">
        <f t="shared" ca="1" si="7"/>
        <v>-45595</v>
      </c>
      <c r="H92" s="9"/>
      <c r="I92" s="50"/>
      <c r="J92" s="50"/>
      <c r="K92" s="50"/>
      <c r="L92" s="50"/>
      <c r="M92" s="50"/>
      <c r="N92" s="50"/>
      <c r="O92" s="50"/>
      <c r="P92" s="50"/>
      <c r="Q92" s="50"/>
      <c r="R92" s="51"/>
    </row>
    <row r="93" spans="1:18" ht="18" customHeight="1" x14ac:dyDescent="0.3">
      <c r="A93" s="18">
        <v>90</v>
      </c>
      <c r="B93" s="7">
        <f t="shared" ca="1" si="4"/>
        <v>44850.419392245371</v>
      </c>
      <c r="C93" s="8">
        <f t="shared" ca="1" si="5"/>
        <v>44850.419392245371</v>
      </c>
      <c r="D93" s="6" t="s">
        <v>114</v>
      </c>
      <c r="E93" s="6"/>
      <c r="F93" s="7">
        <f t="shared" si="6"/>
        <v>91</v>
      </c>
      <c r="G93" s="9">
        <f t="shared" ca="1" si="7"/>
        <v>-45595</v>
      </c>
      <c r="H93" s="9"/>
      <c r="I93" s="50"/>
      <c r="J93" s="50"/>
      <c r="K93" s="50"/>
      <c r="L93" s="50"/>
      <c r="M93" s="50"/>
      <c r="N93" s="50"/>
      <c r="O93" s="50"/>
      <c r="P93" s="50"/>
      <c r="Q93" s="50"/>
      <c r="R93" s="51"/>
    </row>
    <row r="94" spans="1:18" ht="18" customHeight="1" x14ac:dyDescent="0.3">
      <c r="A94" s="18">
        <v>91</v>
      </c>
      <c r="B94" s="7">
        <f t="shared" ca="1" si="4"/>
        <v>44850.419408217589</v>
      </c>
      <c r="C94" s="8">
        <f t="shared" ca="1" si="5"/>
        <v>44850.419408217589</v>
      </c>
      <c r="D94" s="6" t="s">
        <v>115</v>
      </c>
      <c r="E94" s="6"/>
      <c r="F94" s="7">
        <f t="shared" si="6"/>
        <v>91</v>
      </c>
      <c r="G94" s="9">
        <f t="shared" ca="1" si="7"/>
        <v>-45595</v>
      </c>
      <c r="H94" s="9"/>
      <c r="I94" s="50"/>
      <c r="J94" s="50"/>
      <c r="K94" s="50"/>
      <c r="L94" s="50"/>
      <c r="M94" s="50"/>
      <c r="N94" s="50"/>
      <c r="O94" s="50"/>
      <c r="P94" s="50"/>
      <c r="Q94" s="50"/>
      <c r="R94" s="51"/>
    </row>
    <row r="95" spans="1:18" ht="18" customHeight="1" x14ac:dyDescent="0.3">
      <c r="A95" s="18">
        <v>92</v>
      </c>
      <c r="B95" s="7">
        <f t="shared" ca="1" si="4"/>
        <v>44850.419424305554</v>
      </c>
      <c r="C95" s="8">
        <f t="shared" ca="1" si="5"/>
        <v>44850.419424305554</v>
      </c>
      <c r="D95" s="6" t="s">
        <v>116</v>
      </c>
      <c r="E95" s="6"/>
      <c r="F95" s="7">
        <f t="shared" si="6"/>
        <v>91</v>
      </c>
      <c r="G95" s="9">
        <f t="shared" ca="1" si="7"/>
        <v>-45595</v>
      </c>
      <c r="H95" s="9"/>
      <c r="I95" s="50"/>
      <c r="J95" s="50"/>
      <c r="K95" s="50"/>
      <c r="L95" s="50"/>
      <c r="M95" s="50"/>
      <c r="N95" s="50"/>
      <c r="O95" s="50"/>
      <c r="P95" s="50"/>
      <c r="Q95" s="50"/>
      <c r="R95" s="51"/>
    </row>
    <row r="96" spans="1:18" ht="18" customHeight="1" x14ac:dyDescent="0.3">
      <c r="A96" s="18">
        <v>93</v>
      </c>
      <c r="B96" s="7">
        <f t="shared" ca="1" si="4"/>
        <v>44850.419453240742</v>
      </c>
      <c r="C96" s="8">
        <f t="shared" ca="1" si="5"/>
        <v>44850.419453240742</v>
      </c>
      <c r="D96" s="6" t="s">
        <v>117</v>
      </c>
      <c r="E96" s="6"/>
      <c r="F96" s="7">
        <f t="shared" si="6"/>
        <v>91</v>
      </c>
      <c r="G96" s="9">
        <f t="shared" ca="1" si="7"/>
        <v>-45595</v>
      </c>
      <c r="H96" s="9"/>
      <c r="I96" s="50"/>
      <c r="J96" s="50"/>
      <c r="K96" s="50"/>
      <c r="L96" s="50"/>
      <c r="M96" s="50"/>
      <c r="N96" s="50"/>
      <c r="O96" s="50"/>
      <c r="P96" s="50"/>
      <c r="Q96" s="50"/>
      <c r="R96" s="51"/>
    </row>
    <row r="97" spans="1:18" ht="18" customHeight="1" x14ac:dyDescent="0.3">
      <c r="A97" s="18">
        <v>94</v>
      </c>
      <c r="B97" s="7">
        <f t="shared" ca="1" si="4"/>
        <v>44850.419471527777</v>
      </c>
      <c r="C97" s="8">
        <f t="shared" ca="1" si="5"/>
        <v>44850.419471527777</v>
      </c>
      <c r="D97" s="6" t="s">
        <v>118</v>
      </c>
      <c r="E97" s="6"/>
      <c r="F97" s="7">
        <f t="shared" si="6"/>
        <v>91</v>
      </c>
      <c r="G97" s="9">
        <f t="shared" ca="1" si="7"/>
        <v>-45595</v>
      </c>
      <c r="H97" s="9"/>
      <c r="I97" s="50"/>
      <c r="J97" s="50"/>
      <c r="K97" s="50"/>
      <c r="L97" s="50"/>
      <c r="M97" s="50"/>
      <c r="N97" s="50"/>
      <c r="O97" s="50"/>
      <c r="P97" s="50"/>
      <c r="Q97" s="50"/>
      <c r="R97" s="51"/>
    </row>
    <row r="98" spans="1:18" ht="18" customHeight="1" x14ac:dyDescent="0.3">
      <c r="A98" s="18">
        <v>95</v>
      </c>
      <c r="B98" s="7">
        <f t="shared" ca="1" si="4"/>
        <v>44850.419508449071</v>
      </c>
      <c r="C98" s="8">
        <f t="shared" ca="1" si="5"/>
        <v>44850.419508449071</v>
      </c>
      <c r="D98" s="6" t="s">
        <v>119</v>
      </c>
      <c r="E98" s="6"/>
      <c r="F98" s="7">
        <f t="shared" si="6"/>
        <v>91</v>
      </c>
      <c r="G98" s="9">
        <f t="shared" ca="1" si="7"/>
        <v>-45595</v>
      </c>
      <c r="H98" s="9"/>
      <c r="I98" s="50"/>
      <c r="J98" s="50"/>
      <c r="K98" s="50"/>
      <c r="L98" s="50"/>
      <c r="M98" s="50"/>
      <c r="N98" s="50"/>
      <c r="O98" s="50"/>
      <c r="P98" s="50"/>
      <c r="Q98" s="50"/>
      <c r="R98" s="51"/>
    </row>
    <row r="99" spans="1:18" ht="18" customHeight="1" x14ac:dyDescent="0.3">
      <c r="A99" s="18">
        <v>96</v>
      </c>
      <c r="B99" s="7">
        <f t="shared" ca="1" si="4"/>
        <v>44850.419525925929</v>
      </c>
      <c r="C99" s="8">
        <f t="shared" ca="1" si="5"/>
        <v>44850.419525925929</v>
      </c>
      <c r="D99" s="6" t="s">
        <v>120</v>
      </c>
      <c r="E99" s="6"/>
      <c r="F99" s="7">
        <f t="shared" si="6"/>
        <v>91</v>
      </c>
      <c r="G99" s="9">
        <f t="shared" ca="1" si="7"/>
        <v>-45595</v>
      </c>
      <c r="H99" s="9"/>
      <c r="I99" s="50"/>
      <c r="J99" s="50"/>
      <c r="K99" s="50"/>
      <c r="L99" s="50"/>
      <c r="M99" s="50"/>
      <c r="N99" s="50"/>
      <c r="O99" s="50"/>
      <c r="P99" s="50"/>
      <c r="Q99" s="50"/>
      <c r="R99" s="51"/>
    </row>
    <row r="100" spans="1:18" ht="18" customHeight="1" x14ac:dyDescent="0.3">
      <c r="A100" s="18">
        <v>97</v>
      </c>
      <c r="B100" s="7">
        <f t="shared" ca="1" si="4"/>
        <v>44850.419545370372</v>
      </c>
      <c r="C100" s="8">
        <f t="shared" ca="1" si="5"/>
        <v>44850.419545370372</v>
      </c>
      <c r="D100" s="6" t="s">
        <v>121</v>
      </c>
      <c r="E100" s="6"/>
      <c r="F100" s="7">
        <f t="shared" si="6"/>
        <v>91</v>
      </c>
      <c r="G100" s="9">
        <f t="shared" ca="1" si="7"/>
        <v>-45595</v>
      </c>
      <c r="H100" s="9"/>
      <c r="I100" s="50"/>
      <c r="J100" s="50"/>
      <c r="K100" s="50"/>
      <c r="L100" s="50"/>
      <c r="M100" s="50"/>
      <c r="N100" s="50"/>
      <c r="O100" s="50"/>
      <c r="P100" s="50"/>
      <c r="Q100" s="50"/>
      <c r="R100" s="51"/>
    </row>
    <row r="101" spans="1:18" ht="18" customHeight="1" x14ac:dyDescent="0.3">
      <c r="A101" s="18">
        <v>98</v>
      </c>
      <c r="B101" s="7">
        <f t="shared" ca="1" si="4"/>
        <v>44850.419564236108</v>
      </c>
      <c r="C101" s="8">
        <f t="shared" ca="1" si="5"/>
        <v>44850.419564236108</v>
      </c>
      <c r="D101" s="6" t="s">
        <v>122</v>
      </c>
      <c r="E101" s="6"/>
      <c r="F101" s="7">
        <f t="shared" si="6"/>
        <v>91</v>
      </c>
      <c r="G101" s="9">
        <f t="shared" ca="1" si="7"/>
        <v>-45595</v>
      </c>
      <c r="H101" s="9"/>
      <c r="I101" s="50"/>
      <c r="J101" s="50"/>
      <c r="K101" s="50"/>
      <c r="L101" s="50"/>
      <c r="M101" s="50"/>
      <c r="N101" s="50"/>
      <c r="O101" s="50"/>
      <c r="P101" s="50"/>
      <c r="Q101" s="50"/>
      <c r="R101" s="51"/>
    </row>
    <row r="102" spans="1:18" ht="18" customHeight="1" x14ac:dyDescent="0.3">
      <c r="A102" s="18">
        <v>99</v>
      </c>
      <c r="B102" s="7">
        <f t="shared" ca="1" si="4"/>
        <v>44850.41962025463</v>
      </c>
      <c r="C102" s="8">
        <f t="shared" ca="1" si="5"/>
        <v>44850.41962025463</v>
      </c>
      <c r="D102" s="6" t="s">
        <v>123</v>
      </c>
      <c r="E102" s="6"/>
      <c r="F102" s="7">
        <f t="shared" si="6"/>
        <v>91</v>
      </c>
      <c r="G102" s="9">
        <f t="shared" ca="1" si="7"/>
        <v>-45595</v>
      </c>
      <c r="H102" s="9"/>
      <c r="I102" s="50"/>
      <c r="J102" s="50"/>
      <c r="K102" s="50"/>
      <c r="L102" s="50"/>
      <c r="M102" s="50"/>
      <c r="N102" s="50"/>
      <c r="O102" s="50"/>
      <c r="P102" s="50"/>
      <c r="Q102" s="50"/>
      <c r="R102" s="51"/>
    </row>
    <row r="103" spans="1:18" ht="18" customHeight="1" x14ac:dyDescent="0.3">
      <c r="A103" s="18">
        <v>100</v>
      </c>
      <c r="B103" s="7">
        <f t="shared" ca="1" si="4"/>
        <v>44850.419636921295</v>
      </c>
      <c r="C103" s="8">
        <f t="shared" ca="1" si="5"/>
        <v>44850.419636921295</v>
      </c>
      <c r="D103" s="6" t="s">
        <v>124</v>
      </c>
      <c r="E103" s="6"/>
      <c r="F103" s="7">
        <f t="shared" si="6"/>
        <v>91</v>
      </c>
      <c r="G103" s="9">
        <f t="shared" ca="1" si="7"/>
        <v>-45595</v>
      </c>
      <c r="H103" s="9"/>
      <c r="I103" s="50"/>
      <c r="J103" s="50"/>
      <c r="K103" s="50"/>
      <c r="L103" s="50"/>
      <c r="M103" s="50"/>
      <c r="N103" s="50"/>
      <c r="O103" s="50"/>
      <c r="P103" s="50"/>
      <c r="Q103" s="50"/>
      <c r="R103" s="51"/>
    </row>
    <row r="104" spans="1:18" ht="18" customHeight="1" x14ac:dyDescent="0.3">
      <c r="A104" s="18">
        <v>101</v>
      </c>
      <c r="B104" s="7">
        <f t="shared" ca="1" si="4"/>
        <v>44850.419653124998</v>
      </c>
      <c r="C104" s="8">
        <f t="shared" ca="1" si="5"/>
        <v>44850.419653124998</v>
      </c>
      <c r="D104" s="6" t="s">
        <v>125</v>
      </c>
      <c r="E104" s="6"/>
      <c r="F104" s="7">
        <f t="shared" si="6"/>
        <v>91</v>
      </c>
      <c r="G104" s="9">
        <f t="shared" ca="1" si="7"/>
        <v>-45595</v>
      </c>
      <c r="H104" s="9"/>
      <c r="I104" s="50"/>
      <c r="J104" s="50"/>
      <c r="K104" s="50"/>
      <c r="L104" s="50"/>
      <c r="M104" s="50"/>
      <c r="N104" s="50"/>
      <c r="O104" s="50"/>
      <c r="P104" s="50"/>
      <c r="Q104" s="50"/>
      <c r="R104" s="51"/>
    </row>
    <row r="105" spans="1:18" ht="18" customHeight="1" x14ac:dyDescent="0.3">
      <c r="A105" s="18">
        <v>102</v>
      </c>
      <c r="B105" s="7">
        <f t="shared" ca="1" si="4"/>
        <v>44850.419699999999</v>
      </c>
      <c r="C105" s="8">
        <f t="shared" ca="1" si="5"/>
        <v>44850.419699999999</v>
      </c>
      <c r="D105" s="6" t="s">
        <v>126</v>
      </c>
      <c r="E105" s="6"/>
      <c r="F105" s="7">
        <f t="shared" si="6"/>
        <v>91</v>
      </c>
      <c r="G105" s="9">
        <f t="shared" ca="1" si="7"/>
        <v>-45595</v>
      </c>
      <c r="H105" s="9"/>
      <c r="I105" s="50"/>
      <c r="J105" s="50"/>
      <c r="K105" s="50"/>
      <c r="L105" s="50"/>
      <c r="M105" s="50"/>
      <c r="N105" s="50"/>
      <c r="O105" s="50"/>
      <c r="P105" s="50"/>
      <c r="Q105" s="50"/>
      <c r="R105" s="51"/>
    </row>
    <row r="106" spans="1:18" ht="18" customHeight="1" x14ac:dyDescent="0.3">
      <c r="A106" s="18">
        <v>103</v>
      </c>
      <c r="B106" s="7">
        <f t="shared" ca="1" si="4"/>
        <v>44850.419716550925</v>
      </c>
      <c r="C106" s="8">
        <f t="shared" ca="1" si="5"/>
        <v>44850.419716550925</v>
      </c>
      <c r="D106" s="6" t="s">
        <v>127</v>
      </c>
      <c r="E106" s="6"/>
      <c r="F106" s="7">
        <f t="shared" si="6"/>
        <v>91</v>
      </c>
      <c r="G106" s="9">
        <f t="shared" ca="1" si="7"/>
        <v>-45595</v>
      </c>
      <c r="H106" s="9"/>
      <c r="I106" s="50"/>
      <c r="J106" s="50"/>
      <c r="K106" s="50"/>
      <c r="L106" s="50"/>
      <c r="M106" s="50"/>
      <c r="N106" s="50"/>
      <c r="O106" s="50"/>
      <c r="P106" s="50"/>
      <c r="Q106" s="50"/>
      <c r="R106" s="51"/>
    </row>
    <row r="107" spans="1:18" ht="18" customHeight="1" x14ac:dyDescent="0.3">
      <c r="A107" s="18">
        <v>104</v>
      </c>
      <c r="B107" s="7">
        <f t="shared" ca="1" si="4"/>
        <v>44850.419734143521</v>
      </c>
      <c r="C107" s="8">
        <f t="shared" ca="1" si="5"/>
        <v>44850.419734143521</v>
      </c>
      <c r="D107" s="6" t="s">
        <v>128</v>
      </c>
      <c r="E107" s="6"/>
      <c r="F107" s="7">
        <f t="shared" si="6"/>
        <v>91</v>
      </c>
      <c r="G107" s="9">
        <f t="shared" ca="1" si="7"/>
        <v>-45595</v>
      </c>
      <c r="H107" s="9"/>
      <c r="I107" s="50"/>
      <c r="J107" s="50"/>
      <c r="K107" s="50"/>
      <c r="L107" s="50"/>
      <c r="M107" s="50"/>
      <c r="N107" s="50"/>
      <c r="O107" s="50"/>
      <c r="P107" s="50"/>
      <c r="Q107" s="50"/>
      <c r="R107" s="51"/>
    </row>
    <row r="108" spans="1:18" ht="18" customHeight="1" x14ac:dyDescent="0.3">
      <c r="A108" s="18">
        <v>105</v>
      </c>
      <c r="B108" s="7">
        <f t="shared" ca="1" si="4"/>
        <v>44850.419750347224</v>
      </c>
      <c r="C108" s="8">
        <f t="shared" ca="1" si="5"/>
        <v>44850.419750347224</v>
      </c>
      <c r="D108" s="6" t="s">
        <v>129</v>
      </c>
      <c r="E108" s="6"/>
      <c r="F108" s="7">
        <f t="shared" si="6"/>
        <v>91</v>
      </c>
      <c r="G108" s="9">
        <f t="shared" ca="1" si="7"/>
        <v>-45595</v>
      </c>
      <c r="H108" s="9"/>
      <c r="I108" s="50"/>
      <c r="J108" s="50"/>
      <c r="K108" s="50"/>
      <c r="L108" s="50"/>
      <c r="M108" s="50"/>
      <c r="N108" s="50"/>
      <c r="O108" s="50"/>
      <c r="P108" s="50"/>
      <c r="Q108" s="50"/>
      <c r="R108" s="51"/>
    </row>
    <row r="109" spans="1:18" ht="18" customHeight="1" x14ac:dyDescent="0.3">
      <c r="A109" s="18">
        <v>106</v>
      </c>
      <c r="B109" s="7">
        <f t="shared" ca="1" si="4"/>
        <v>44850.4197712963</v>
      </c>
      <c r="C109" s="8">
        <f t="shared" ca="1" si="5"/>
        <v>44850.4197712963</v>
      </c>
      <c r="D109" s="6" t="s">
        <v>130</v>
      </c>
      <c r="E109" s="6"/>
      <c r="F109" s="7">
        <f t="shared" si="6"/>
        <v>91</v>
      </c>
      <c r="G109" s="9">
        <f t="shared" ca="1" si="7"/>
        <v>-45595</v>
      </c>
      <c r="H109" s="9"/>
      <c r="I109" s="50"/>
      <c r="J109" s="50"/>
      <c r="K109" s="50"/>
      <c r="L109" s="50"/>
      <c r="M109" s="50"/>
      <c r="N109" s="50"/>
      <c r="O109" s="50"/>
      <c r="P109" s="50"/>
      <c r="Q109" s="50"/>
      <c r="R109" s="51"/>
    </row>
    <row r="110" spans="1:18" ht="18" customHeight="1" x14ac:dyDescent="0.3">
      <c r="A110" s="18">
        <v>107</v>
      </c>
      <c r="B110" s="7">
        <f t="shared" ca="1" si="4"/>
        <v>44850.419787847219</v>
      </c>
      <c r="C110" s="8">
        <f t="shared" ca="1" si="5"/>
        <v>44850.419787847219</v>
      </c>
      <c r="D110" s="6" t="s">
        <v>131</v>
      </c>
      <c r="E110" s="6"/>
      <c r="F110" s="7">
        <f t="shared" si="6"/>
        <v>91</v>
      </c>
      <c r="G110" s="9">
        <f t="shared" ca="1" si="7"/>
        <v>-45595</v>
      </c>
      <c r="H110" s="9"/>
      <c r="I110" s="50"/>
      <c r="J110" s="50"/>
      <c r="K110" s="50"/>
      <c r="L110" s="50"/>
      <c r="M110" s="50"/>
      <c r="N110" s="50"/>
      <c r="O110" s="50"/>
      <c r="P110" s="50"/>
      <c r="Q110" s="50"/>
      <c r="R110" s="51"/>
    </row>
    <row r="111" spans="1:18" ht="18" customHeight="1" x14ac:dyDescent="0.3">
      <c r="A111" s="18">
        <v>108</v>
      </c>
      <c r="B111" s="7">
        <f t="shared" ca="1" si="4"/>
        <v>44850.419813773151</v>
      </c>
      <c r="C111" s="8">
        <f t="shared" ca="1" si="5"/>
        <v>44850.419813773151</v>
      </c>
      <c r="D111" s="6" t="s">
        <v>132</v>
      </c>
      <c r="E111" s="6"/>
      <c r="F111" s="7">
        <f t="shared" si="6"/>
        <v>91</v>
      </c>
      <c r="G111" s="9">
        <f t="shared" ca="1" si="7"/>
        <v>-45595</v>
      </c>
      <c r="H111" s="9"/>
      <c r="I111" s="50"/>
      <c r="J111" s="50"/>
      <c r="K111" s="50"/>
      <c r="L111" s="50"/>
      <c r="M111" s="50"/>
      <c r="N111" s="50"/>
      <c r="O111" s="50"/>
      <c r="P111" s="50"/>
      <c r="Q111" s="50"/>
      <c r="R111" s="51"/>
    </row>
    <row r="112" spans="1:18" ht="18" customHeight="1" x14ac:dyDescent="0.3">
      <c r="A112" s="18">
        <v>109</v>
      </c>
      <c r="B112" s="7">
        <f t="shared" ca="1" si="4"/>
        <v>44850.419830555555</v>
      </c>
      <c r="C112" s="8">
        <f t="shared" ca="1" si="5"/>
        <v>44850.419830555555</v>
      </c>
      <c r="D112" s="6" t="s">
        <v>133</v>
      </c>
      <c r="E112" s="6"/>
      <c r="F112" s="7">
        <f t="shared" si="6"/>
        <v>91</v>
      </c>
      <c r="G112" s="9">
        <f t="shared" ca="1" si="7"/>
        <v>-45595</v>
      </c>
      <c r="H112" s="9"/>
      <c r="I112" s="50"/>
      <c r="J112" s="50"/>
      <c r="K112" s="50"/>
      <c r="L112" s="50"/>
      <c r="M112" s="50"/>
      <c r="N112" s="50"/>
      <c r="O112" s="50"/>
      <c r="P112" s="50"/>
      <c r="Q112" s="50"/>
      <c r="R112" s="51"/>
    </row>
    <row r="113" spans="1:18" ht="18" customHeight="1" x14ac:dyDescent="0.3">
      <c r="A113" s="18">
        <v>110</v>
      </c>
      <c r="B113" s="7">
        <f t="shared" ca="1" si="4"/>
        <v>44850.41984884259</v>
      </c>
      <c r="C113" s="8">
        <f t="shared" ca="1" si="5"/>
        <v>44850.41984884259</v>
      </c>
      <c r="D113" s="6" t="s">
        <v>134</v>
      </c>
      <c r="E113" s="6"/>
      <c r="F113" s="7">
        <f t="shared" si="6"/>
        <v>91</v>
      </c>
      <c r="G113" s="9">
        <f t="shared" ca="1" si="7"/>
        <v>-45595</v>
      </c>
      <c r="H113" s="9"/>
      <c r="I113" s="50"/>
      <c r="J113" s="50"/>
      <c r="K113" s="50"/>
      <c r="L113" s="50"/>
      <c r="M113" s="50"/>
      <c r="N113" s="50"/>
      <c r="O113" s="50"/>
      <c r="P113" s="50"/>
      <c r="Q113" s="50"/>
      <c r="R113" s="51"/>
    </row>
    <row r="114" spans="1:18" ht="18" customHeight="1" x14ac:dyDescent="0.3">
      <c r="A114" s="18">
        <v>111</v>
      </c>
      <c r="B114" s="7">
        <f t="shared" ca="1" si="4"/>
        <v>44850.419866435186</v>
      </c>
      <c r="C114" s="8">
        <f t="shared" ca="1" si="5"/>
        <v>44850.419866435186</v>
      </c>
      <c r="D114" s="6" t="s">
        <v>135</v>
      </c>
      <c r="E114" s="6"/>
      <c r="F114" s="7">
        <f t="shared" si="6"/>
        <v>91</v>
      </c>
      <c r="G114" s="9">
        <f t="shared" ca="1" si="7"/>
        <v>-45595</v>
      </c>
      <c r="H114" s="9"/>
      <c r="I114" s="50"/>
      <c r="J114" s="50"/>
      <c r="K114" s="50"/>
      <c r="L114" s="50"/>
      <c r="M114" s="50"/>
      <c r="N114" s="50"/>
      <c r="O114" s="50"/>
      <c r="P114" s="50"/>
      <c r="Q114" s="50"/>
      <c r="R114" s="51"/>
    </row>
    <row r="115" spans="1:18" ht="18" customHeight="1" x14ac:dyDescent="0.3">
      <c r="A115" s="18">
        <v>112</v>
      </c>
      <c r="B115" s="7">
        <f t="shared" ca="1" si="4"/>
        <v>44850.419883680559</v>
      </c>
      <c r="C115" s="8">
        <f t="shared" ca="1" si="5"/>
        <v>44850.419883680559</v>
      </c>
      <c r="D115" s="6" t="s">
        <v>136</v>
      </c>
      <c r="E115" s="6"/>
      <c r="F115" s="7">
        <f t="shared" si="6"/>
        <v>91</v>
      </c>
      <c r="G115" s="9">
        <f t="shared" ca="1" si="7"/>
        <v>-45595</v>
      </c>
      <c r="H115" s="9"/>
      <c r="I115" s="50"/>
      <c r="J115" s="50"/>
      <c r="K115" s="50"/>
      <c r="L115" s="50"/>
      <c r="M115" s="50"/>
      <c r="N115" s="50"/>
      <c r="O115" s="50"/>
      <c r="P115" s="50"/>
      <c r="Q115" s="50"/>
      <c r="R115" s="51"/>
    </row>
    <row r="116" spans="1:18" ht="18" customHeight="1" x14ac:dyDescent="0.3">
      <c r="A116" s="18">
        <v>113</v>
      </c>
      <c r="B116" s="7">
        <f t="shared" ca="1" si="4"/>
        <v>44850.419898726854</v>
      </c>
      <c r="C116" s="8">
        <f t="shared" ca="1" si="5"/>
        <v>44850.419898726854</v>
      </c>
      <c r="D116" s="6" t="s">
        <v>137</v>
      </c>
      <c r="E116" s="6"/>
      <c r="F116" s="7">
        <f t="shared" si="6"/>
        <v>91</v>
      </c>
      <c r="G116" s="9">
        <f t="shared" ca="1" si="7"/>
        <v>-45595</v>
      </c>
      <c r="H116" s="9"/>
      <c r="I116" s="50"/>
      <c r="J116" s="50"/>
      <c r="K116" s="50"/>
      <c r="L116" s="50"/>
      <c r="M116" s="50"/>
      <c r="N116" s="50"/>
      <c r="O116" s="50"/>
      <c r="P116" s="50"/>
      <c r="Q116" s="50"/>
      <c r="R116" s="51"/>
    </row>
    <row r="117" spans="1:18" ht="18" customHeight="1" x14ac:dyDescent="0.3">
      <c r="A117" s="18">
        <v>114</v>
      </c>
      <c r="B117" s="7">
        <f t="shared" ca="1" si="4"/>
        <v>44850.419914120372</v>
      </c>
      <c r="C117" s="8">
        <f t="shared" ca="1" si="5"/>
        <v>44850.419914120372</v>
      </c>
      <c r="D117" s="6" t="s">
        <v>138</v>
      </c>
      <c r="E117" s="6"/>
      <c r="F117" s="7">
        <f t="shared" si="6"/>
        <v>91</v>
      </c>
      <c r="G117" s="9">
        <f t="shared" ca="1" si="7"/>
        <v>-45595</v>
      </c>
      <c r="H117" s="9"/>
      <c r="I117" s="50"/>
      <c r="J117" s="50"/>
      <c r="K117" s="50"/>
      <c r="L117" s="50"/>
      <c r="M117" s="50"/>
      <c r="N117" s="50"/>
      <c r="O117" s="50"/>
      <c r="P117" s="50"/>
      <c r="Q117" s="50"/>
      <c r="R117" s="51"/>
    </row>
    <row r="118" spans="1:18" ht="18" customHeight="1" x14ac:dyDescent="0.3">
      <c r="A118" s="18">
        <v>115</v>
      </c>
      <c r="B118" s="7">
        <f t="shared" ca="1" si="4"/>
        <v>44850.419929398151</v>
      </c>
      <c r="C118" s="8">
        <f t="shared" ca="1" si="5"/>
        <v>44850.419929398151</v>
      </c>
      <c r="D118" s="6" t="s">
        <v>139</v>
      </c>
      <c r="E118" s="6"/>
      <c r="F118" s="7">
        <f t="shared" si="6"/>
        <v>91</v>
      </c>
      <c r="G118" s="9">
        <f t="shared" ca="1" si="7"/>
        <v>-45595</v>
      </c>
      <c r="H118" s="9"/>
      <c r="I118" s="50"/>
      <c r="J118" s="50"/>
      <c r="K118" s="50"/>
      <c r="L118" s="50"/>
      <c r="M118" s="50"/>
      <c r="N118" s="50"/>
      <c r="O118" s="50"/>
      <c r="P118" s="50"/>
      <c r="Q118" s="50"/>
      <c r="R118" s="51"/>
    </row>
    <row r="119" spans="1:18" ht="18" customHeight="1" x14ac:dyDescent="0.3">
      <c r="A119" s="18">
        <v>116</v>
      </c>
      <c r="B119" s="7">
        <f t="shared" ca="1" si="4"/>
        <v>44850.419945023146</v>
      </c>
      <c r="C119" s="8">
        <f t="shared" ca="1" si="5"/>
        <v>44850.419945023146</v>
      </c>
      <c r="D119" s="6" t="s">
        <v>140</v>
      </c>
      <c r="E119" s="6"/>
      <c r="F119" s="7">
        <f t="shared" si="6"/>
        <v>91</v>
      </c>
      <c r="G119" s="9">
        <f t="shared" ca="1" si="7"/>
        <v>-45595</v>
      </c>
      <c r="H119" s="9"/>
      <c r="I119" s="50"/>
      <c r="J119" s="50"/>
      <c r="K119" s="50"/>
      <c r="L119" s="50"/>
      <c r="M119" s="50"/>
      <c r="N119" s="50"/>
      <c r="O119" s="50"/>
      <c r="P119" s="50"/>
      <c r="Q119" s="50"/>
      <c r="R119" s="51"/>
    </row>
    <row r="120" spans="1:18" ht="18" customHeight="1" x14ac:dyDescent="0.3">
      <c r="A120" s="18">
        <v>117</v>
      </c>
      <c r="B120" s="7">
        <f t="shared" ca="1" si="4"/>
        <v>44850.419963425928</v>
      </c>
      <c r="C120" s="8">
        <f t="shared" ca="1" si="5"/>
        <v>44850.419963425928</v>
      </c>
      <c r="D120" s="6" t="s">
        <v>141</v>
      </c>
      <c r="E120" s="6"/>
      <c r="F120" s="7">
        <f t="shared" si="6"/>
        <v>91</v>
      </c>
      <c r="G120" s="9">
        <f t="shared" ca="1" si="7"/>
        <v>-45595</v>
      </c>
      <c r="H120" s="9"/>
      <c r="I120" s="50"/>
      <c r="J120" s="50"/>
      <c r="K120" s="50"/>
      <c r="L120" s="50"/>
      <c r="M120" s="50"/>
      <c r="N120" s="50"/>
      <c r="O120" s="50"/>
      <c r="P120" s="50"/>
      <c r="Q120" s="50"/>
      <c r="R120" s="51"/>
    </row>
    <row r="121" spans="1:18" ht="18" customHeight="1" x14ac:dyDescent="0.3">
      <c r="A121" s="18">
        <v>118</v>
      </c>
      <c r="B121" s="7">
        <f t="shared" ca="1" si="4"/>
        <v>44850.419979398146</v>
      </c>
      <c r="C121" s="8">
        <f t="shared" ca="1" si="5"/>
        <v>44850.419979398146</v>
      </c>
      <c r="D121" s="6" t="s">
        <v>142</v>
      </c>
      <c r="E121" s="6"/>
      <c r="F121" s="7">
        <f t="shared" si="6"/>
        <v>91</v>
      </c>
      <c r="G121" s="9">
        <f t="shared" ca="1" si="7"/>
        <v>-45595</v>
      </c>
      <c r="H121" s="9"/>
      <c r="I121" s="50"/>
      <c r="J121" s="50"/>
      <c r="K121" s="50"/>
      <c r="L121" s="50"/>
      <c r="M121" s="50"/>
      <c r="N121" s="50"/>
      <c r="O121" s="50"/>
      <c r="P121" s="50"/>
      <c r="Q121" s="50"/>
      <c r="R121" s="51"/>
    </row>
    <row r="122" spans="1:18" ht="18" customHeight="1" x14ac:dyDescent="0.3">
      <c r="A122" s="18">
        <v>119</v>
      </c>
      <c r="B122" s="7">
        <f t="shared" ca="1" si="4"/>
        <v>44850.419995486111</v>
      </c>
      <c r="C122" s="8">
        <f t="shared" ca="1" si="5"/>
        <v>44850.419995486111</v>
      </c>
      <c r="D122" s="6" t="s">
        <v>143</v>
      </c>
      <c r="E122" s="6"/>
      <c r="F122" s="7">
        <f t="shared" si="6"/>
        <v>91</v>
      </c>
      <c r="G122" s="9">
        <f t="shared" ca="1" si="7"/>
        <v>-45595</v>
      </c>
      <c r="H122" s="9"/>
      <c r="I122" s="50"/>
      <c r="J122" s="50"/>
      <c r="K122" s="50"/>
      <c r="L122" s="50"/>
      <c r="M122" s="50"/>
      <c r="N122" s="50"/>
      <c r="O122" s="50"/>
      <c r="P122" s="50"/>
      <c r="Q122" s="50"/>
      <c r="R122" s="51"/>
    </row>
    <row r="123" spans="1:18" ht="18" customHeight="1" x14ac:dyDescent="0.3">
      <c r="A123" s="18">
        <v>120</v>
      </c>
      <c r="B123" s="7">
        <f t="shared" ca="1" si="4"/>
        <v>44850.420012615738</v>
      </c>
      <c r="C123" s="8">
        <f t="shared" ca="1" si="5"/>
        <v>44850.420012615738</v>
      </c>
      <c r="D123" s="6" t="s">
        <v>144</v>
      </c>
      <c r="E123" s="6"/>
      <c r="F123" s="7">
        <f t="shared" si="6"/>
        <v>91</v>
      </c>
      <c r="G123" s="9">
        <f t="shared" ca="1" si="7"/>
        <v>-45595</v>
      </c>
      <c r="H123" s="9"/>
      <c r="I123" s="50"/>
      <c r="J123" s="50"/>
      <c r="K123" s="50"/>
      <c r="L123" s="50"/>
      <c r="M123" s="50"/>
      <c r="N123" s="50"/>
      <c r="O123" s="50"/>
      <c r="P123" s="50"/>
      <c r="Q123" s="50"/>
      <c r="R123" s="51"/>
    </row>
    <row r="124" spans="1:18" ht="18" customHeight="1" x14ac:dyDescent="0.3">
      <c r="A124" s="18">
        <v>121</v>
      </c>
      <c r="B124" s="7">
        <f t="shared" ca="1" si="4"/>
        <v>44850.420031481481</v>
      </c>
      <c r="C124" s="8">
        <f t="shared" ca="1" si="5"/>
        <v>44850.420031481481</v>
      </c>
      <c r="D124" s="6" t="s">
        <v>145</v>
      </c>
      <c r="E124" s="6"/>
      <c r="F124" s="7">
        <f t="shared" si="6"/>
        <v>91</v>
      </c>
      <c r="G124" s="9">
        <f t="shared" ca="1" si="7"/>
        <v>-45595</v>
      </c>
      <c r="H124" s="9"/>
      <c r="I124" s="50"/>
      <c r="J124" s="50"/>
      <c r="K124" s="50"/>
      <c r="L124" s="50"/>
      <c r="M124" s="50"/>
      <c r="N124" s="50"/>
      <c r="O124" s="50"/>
      <c r="P124" s="50"/>
      <c r="Q124" s="50"/>
      <c r="R124" s="51"/>
    </row>
    <row r="125" spans="1:18" ht="18" customHeight="1" x14ac:dyDescent="0.3">
      <c r="A125" s="18">
        <v>122</v>
      </c>
      <c r="B125" s="7">
        <f t="shared" ca="1" si="4"/>
        <v>44850.420049305554</v>
      </c>
      <c r="C125" s="8">
        <f t="shared" ca="1" si="5"/>
        <v>44850.420049305554</v>
      </c>
      <c r="D125" s="6" t="s">
        <v>146</v>
      </c>
      <c r="E125" s="6"/>
      <c r="F125" s="7">
        <f t="shared" si="6"/>
        <v>91</v>
      </c>
      <c r="G125" s="9">
        <f t="shared" ca="1" si="7"/>
        <v>-45595</v>
      </c>
      <c r="H125" s="9"/>
      <c r="I125" s="50"/>
      <c r="J125" s="50"/>
      <c r="K125" s="50"/>
      <c r="L125" s="50"/>
      <c r="M125" s="50"/>
      <c r="N125" s="50"/>
      <c r="O125" s="50"/>
      <c r="P125" s="50"/>
      <c r="Q125" s="50"/>
      <c r="R125" s="51"/>
    </row>
    <row r="126" spans="1:18" ht="18" customHeight="1" x14ac:dyDescent="0.3">
      <c r="A126" s="18">
        <v>123</v>
      </c>
      <c r="B126" s="7">
        <f t="shared" ca="1" si="4"/>
        <v>44850.420067476851</v>
      </c>
      <c r="C126" s="8">
        <f t="shared" ca="1" si="5"/>
        <v>44850.420067476851</v>
      </c>
      <c r="D126" s="6" t="s">
        <v>147</v>
      </c>
      <c r="E126" s="6"/>
      <c r="F126" s="7">
        <f t="shared" si="6"/>
        <v>91</v>
      </c>
      <c r="G126" s="9">
        <f t="shared" ca="1" si="7"/>
        <v>-45595</v>
      </c>
      <c r="H126" s="9"/>
      <c r="I126" s="50"/>
      <c r="J126" s="50"/>
      <c r="K126" s="50"/>
      <c r="L126" s="50"/>
      <c r="M126" s="50"/>
      <c r="N126" s="50"/>
      <c r="O126" s="50"/>
      <c r="P126" s="50"/>
      <c r="Q126" s="50"/>
      <c r="R126" s="51"/>
    </row>
    <row r="127" spans="1:18" ht="18" customHeight="1" x14ac:dyDescent="0.3">
      <c r="A127" s="18">
        <v>124</v>
      </c>
      <c r="B127" s="7">
        <f t="shared" ca="1" si="4"/>
        <v>44850.420082870369</v>
      </c>
      <c r="C127" s="8">
        <f t="shared" ca="1" si="5"/>
        <v>44850.420082870369</v>
      </c>
      <c r="D127" s="6" t="s">
        <v>148</v>
      </c>
      <c r="E127" s="6"/>
      <c r="F127" s="7">
        <f t="shared" si="6"/>
        <v>91</v>
      </c>
      <c r="G127" s="9">
        <f t="shared" ca="1" si="7"/>
        <v>-45595</v>
      </c>
      <c r="H127" s="9"/>
      <c r="I127" s="50"/>
      <c r="J127" s="50"/>
      <c r="K127" s="50"/>
      <c r="L127" s="50"/>
      <c r="M127" s="50"/>
      <c r="N127" s="50"/>
      <c r="O127" s="50"/>
      <c r="P127" s="50"/>
      <c r="Q127" s="50"/>
      <c r="R127" s="51"/>
    </row>
    <row r="128" spans="1:18" ht="18" customHeight="1" x14ac:dyDescent="0.3">
      <c r="A128" s="18">
        <v>125</v>
      </c>
      <c r="B128" s="7">
        <f t="shared" ca="1" si="4"/>
        <v>44850.420127314814</v>
      </c>
      <c r="C128" s="8">
        <f t="shared" ca="1" si="5"/>
        <v>44850.420127314814</v>
      </c>
      <c r="D128" s="6" t="s">
        <v>149</v>
      </c>
      <c r="E128" s="6"/>
      <c r="F128" s="7">
        <f t="shared" si="6"/>
        <v>91</v>
      </c>
      <c r="G128" s="9">
        <f t="shared" ca="1" si="7"/>
        <v>-45595</v>
      </c>
      <c r="H128" s="9"/>
      <c r="I128" s="50"/>
      <c r="J128" s="50"/>
      <c r="K128" s="50"/>
      <c r="L128" s="50"/>
      <c r="M128" s="50"/>
      <c r="N128" s="50"/>
      <c r="O128" s="50"/>
      <c r="P128" s="50"/>
      <c r="Q128" s="50"/>
      <c r="R128" s="51"/>
    </row>
    <row r="129" spans="1:18" ht="18" customHeight="1" x14ac:dyDescent="0.3">
      <c r="A129" s="18">
        <v>126</v>
      </c>
      <c r="B129" s="7">
        <f t="shared" ca="1" si="4"/>
        <v>44850.420146064818</v>
      </c>
      <c r="C129" s="8">
        <f t="shared" ca="1" si="5"/>
        <v>44850.420146064818</v>
      </c>
      <c r="D129" s="6" t="s">
        <v>150</v>
      </c>
      <c r="E129" s="6"/>
      <c r="F129" s="7">
        <f t="shared" si="6"/>
        <v>91</v>
      </c>
      <c r="G129" s="9">
        <f t="shared" ca="1" si="7"/>
        <v>-45595</v>
      </c>
      <c r="H129" s="9"/>
      <c r="I129" s="50"/>
      <c r="J129" s="50"/>
      <c r="K129" s="50"/>
      <c r="L129" s="50"/>
      <c r="M129" s="50"/>
      <c r="N129" s="50"/>
      <c r="O129" s="50"/>
      <c r="P129" s="50"/>
      <c r="Q129" s="50"/>
      <c r="R129" s="51"/>
    </row>
    <row r="130" spans="1:18" ht="18" customHeight="1" x14ac:dyDescent="0.3">
      <c r="A130" s="18">
        <v>127</v>
      </c>
      <c r="B130" s="7">
        <f t="shared" ca="1" si="4"/>
        <v>44850.420171180558</v>
      </c>
      <c r="C130" s="8">
        <f t="shared" ca="1" si="5"/>
        <v>44850.420171180558</v>
      </c>
      <c r="D130" s="6" t="s">
        <v>151</v>
      </c>
      <c r="E130" s="6"/>
      <c r="F130" s="7">
        <f t="shared" si="6"/>
        <v>91</v>
      </c>
      <c r="G130" s="9">
        <f t="shared" ca="1" si="7"/>
        <v>-45595</v>
      </c>
      <c r="H130" s="9"/>
      <c r="I130" s="50"/>
      <c r="J130" s="50"/>
      <c r="K130" s="50"/>
      <c r="L130" s="50"/>
      <c r="M130" s="50"/>
      <c r="N130" s="50"/>
      <c r="O130" s="50"/>
      <c r="P130" s="50"/>
      <c r="Q130" s="50"/>
      <c r="R130" s="51"/>
    </row>
    <row r="131" spans="1:18" ht="18" customHeight="1" x14ac:dyDescent="0.3">
      <c r="A131" s="18">
        <v>128</v>
      </c>
      <c r="B131" s="7">
        <f t="shared" ca="1" si="4"/>
        <v>44850.420186805553</v>
      </c>
      <c r="C131" s="8">
        <f t="shared" ca="1" si="5"/>
        <v>44850.420186805553</v>
      </c>
      <c r="D131" s="6" t="s">
        <v>152</v>
      </c>
      <c r="E131" s="6"/>
      <c r="F131" s="7">
        <f t="shared" si="6"/>
        <v>91</v>
      </c>
      <c r="G131" s="9">
        <f t="shared" ca="1" si="7"/>
        <v>-45595</v>
      </c>
      <c r="H131" s="9"/>
      <c r="I131" s="50"/>
      <c r="J131" s="50"/>
      <c r="K131" s="50"/>
      <c r="L131" s="50"/>
      <c r="M131" s="50"/>
      <c r="N131" s="50"/>
      <c r="O131" s="50"/>
      <c r="P131" s="50"/>
      <c r="Q131" s="50"/>
      <c r="R131" s="51"/>
    </row>
    <row r="132" spans="1:18" ht="18" customHeight="1" x14ac:dyDescent="0.3">
      <c r="A132" s="18">
        <v>129</v>
      </c>
      <c r="B132" s="7">
        <f t="shared" ref="B132:B195" ca="1" si="8">IF(D132 &lt;&gt;"", IF(B132 ="", NOW(), B132), "")</f>
        <v>44850.420209374999</v>
      </c>
      <c r="C132" s="8">
        <f t="shared" ref="C132:C195" ca="1" si="9">IF(D132 &lt;&gt;"", IF(C132 ="", NOW(), C132), "")</f>
        <v>44850.420209374999</v>
      </c>
      <c r="D132" s="6" t="s">
        <v>153</v>
      </c>
      <c r="E132" s="6"/>
      <c r="F132" s="7">
        <f t="shared" ref="F132:F195" si="10">EDATE(E132,3)-0</f>
        <v>91</v>
      </c>
      <c r="G132" s="9">
        <f t="shared" ref="G132:G195" ca="1" si="11">E132-TODAY()</f>
        <v>-45595</v>
      </c>
      <c r="H132" s="9"/>
      <c r="I132" s="50"/>
      <c r="J132" s="50"/>
      <c r="K132" s="50"/>
      <c r="L132" s="50"/>
      <c r="M132" s="50"/>
      <c r="N132" s="50"/>
      <c r="O132" s="50"/>
      <c r="P132" s="50"/>
      <c r="Q132" s="50"/>
      <c r="R132" s="51"/>
    </row>
    <row r="133" spans="1:18" ht="18" customHeight="1" x14ac:dyDescent="0.3">
      <c r="A133" s="18">
        <v>130</v>
      </c>
      <c r="B133" s="7">
        <f t="shared" ca="1" si="8"/>
        <v>44850.420225578702</v>
      </c>
      <c r="C133" s="8">
        <f t="shared" ca="1" si="9"/>
        <v>44850.420225578702</v>
      </c>
      <c r="D133" s="6" t="s">
        <v>154</v>
      </c>
      <c r="E133" s="6"/>
      <c r="F133" s="7">
        <f t="shared" si="10"/>
        <v>91</v>
      </c>
      <c r="G133" s="9">
        <f t="shared" ca="1" si="11"/>
        <v>-45595</v>
      </c>
      <c r="H133" s="9"/>
      <c r="I133" s="50"/>
      <c r="J133" s="50"/>
      <c r="K133" s="50"/>
      <c r="L133" s="50"/>
      <c r="M133" s="50"/>
      <c r="N133" s="50"/>
      <c r="O133" s="50"/>
      <c r="P133" s="50"/>
      <c r="Q133" s="50"/>
      <c r="R133" s="51"/>
    </row>
    <row r="134" spans="1:18" ht="18" customHeight="1" x14ac:dyDescent="0.3">
      <c r="A134" s="18">
        <v>131</v>
      </c>
      <c r="B134" s="7">
        <f t="shared" ca="1" si="8"/>
        <v>44850.420242245367</v>
      </c>
      <c r="C134" s="8">
        <f t="shared" ca="1" si="9"/>
        <v>44850.420242245367</v>
      </c>
      <c r="D134" s="6" t="s">
        <v>155</v>
      </c>
      <c r="E134" s="6"/>
      <c r="F134" s="7">
        <f t="shared" si="10"/>
        <v>91</v>
      </c>
      <c r="G134" s="9">
        <f t="shared" ca="1" si="11"/>
        <v>-45595</v>
      </c>
      <c r="H134" s="9"/>
      <c r="I134" s="50"/>
      <c r="J134" s="50"/>
      <c r="K134" s="50"/>
      <c r="L134" s="50"/>
      <c r="M134" s="50"/>
      <c r="N134" s="50"/>
      <c r="O134" s="50"/>
      <c r="P134" s="50"/>
      <c r="Q134" s="50"/>
      <c r="R134" s="51"/>
    </row>
    <row r="135" spans="1:18" ht="18" customHeight="1" x14ac:dyDescent="0.3">
      <c r="A135" s="18">
        <v>132</v>
      </c>
      <c r="B135" s="7">
        <f t="shared" ca="1" si="8"/>
        <v>44850.420257291669</v>
      </c>
      <c r="C135" s="8">
        <f t="shared" ca="1" si="9"/>
        <v>44850.420257291669</v>
      </c>
      <c r="D135" s="6" t="s">
        <v>156</v>
      </c>
      <c r="E135" s="6"/>
      <c r="F135" s="7">
        <f t="shared" si="10"/>
        <v>91</v>
      </c>
      <c r="G135" s="9">
        <f t="shared" ca="1" si="11"/>
        <v>-45595</v>
      </c>
      <c r="H135" s="9"/>
      <c r="I135" s="50"/>
      <c r="J135" s="50"/>
      <c r="K135" s="50"/>
      <c r="L135" s="50"/>
      <c r="M135" s="50"/>
      <c r="N135" s="50"/>
      <c r="O135" s="50"/>
      <c r="P135" s="50"/>
      <c r="Q135" s="50"/>
      <c r="R135" s="51"/>
    </row>
    <row r="136" spans="1:18" ht="18" customHeight="1" x14ac:dyDescent="0.3">
      <c r="A136" s="18">
        <v>133</v>
      </c>
      <c r="B136" s="7">
        <f t="shared" ca="1" si="8"/>
        <v>44850.420272453703</v>
      </c>
      <c r="C136" s="8">
        <f t="shared" ca="1" si="9"/>
        <v>44850.420272453703</v>
      </c>
      <c r="D136" s="6" t="s">
        <v>157</v>
      </c>
      <c r="E136" s="6"/>
      <c r="F136" s="7">
        <f t="shared" si="10"/>
        <v>91</v>
      </c>
      <c r="G136" s="9">
        <f t="shared" ca="1" si="11"/>
        <v>-45595</v>
      </c>
      <c r="H136" s="9"/>
      <c r="I136" s="50"/>
      <c r="J136" s="50"/>
      <c r="K136" s="50"/>
      <c r="L136" s="50"/>
      <c r="M136" s="50"/>
      <c r="N136" s="50"/>
      <c r="O136" s="50"/>
      <c r="P136" s="50"/>
      <c r="Q136" s="50"/>
      <c r="R136" s="51"/>
    </row>
    <row r="137" spans="1:18" ht="18" customHeight="1" x14ac:dyDescent="0.3">
      <c r="A137" s="18">
        <v>134</v>
      </c>
      <c r="B137" s="7">
        <f t="shared" ca="1" si="8"/>
        <v>44850.420288773152</v>
      </c>
      <c r="C137" s="8">
        <f t="shared" ca="1" si="9"/>
        <v>44850.420288773152</v>
      </c>
      <c r="D137" s="6" t="s">
        <v>158</v>
      </c>
      <c r="E137" s="6"/>
      <c r="F137" s="7">
        <f t="shared" si="10"/>
        <v>91</v>
      </c>
      <c r="G137" s="9">
        <f t="shared" ca="1" si="11"/>
        <v>-45595</v>
      </c>
      <c r="H137" s="9"/>
      <c r="I137" s="50"/>
      <c r="J137" s="50"/>
      <c r="K137" s="50"/>
      <c r="L137" s="50"/>
      <c r="M137" s="50"/>
      <c r="N137" s="50"/>
      <c r="O137" s="50"/>
      <c r="P137" s="50"/>
      <c r="Q137" s="50"/>
      <c r="R137" s="51"/>
    </row>
    <row r="138" spans="1:18" ht="18" customHeight="1" x14ac:dyDescent="0.3">
      <c r="A138" s="18">
        <v>135</v>
      </c>
      <c r="B138" s="7">
        <f t="shared" ca="1" si="8"/>
        <v>44850.420307870372</v>
      </c>
      <c r="C138" s="8">
        <f t="shared" ca="1" si="9"/>
        <v>44850.420307870372</v>
      </c>
      <c r="D138" s="6" t="s">
        <v>159</v>
      </c>
      <c r="E138" s="6"/>
      <c r="F138" s="7">
        <f t="shared" si="10"/>
        <v>91</v>
      </c>
      <c r="G138" s="9">
        <f t="shared" ca="1" si="11"/>
        <v>-45595</v>
      </c>
      <c r="H138" s="9"/>
      <c r="I138" s="50"/>
      <c r="J138" s="50"/>
      <c r="K138" s="50"/>
      <c r="L138" s="50"/>
      <c r="M138" s="50"/>
      <c r="N138" s="50"/>
      <c r="O138" s="50"/>
      <c r="P138" s="50"/>
      <c r="Q138" s="50"/>
      <c r="R138" s="51"/>
    </row>
    <row r="139" spans="1:18" ht="18" customHeight="1" x14ac:dyDescent="0.3">
      <c r="A139" s="18">
        <v>136</v>
      </c>
      <c r="B139" s="7">
        <f t="shared" ca="1" si="8"/>
        <v>44850.420323148152</v>
      </c>
      <c r="C139" s="8">
        <f t="shared" ca="1" si="9"/>
        <v>44850.420323148152</v>
      </c>
      <c r="D139" s="6" t="s">
        <v>160</v>
      </c>
      <c r="E139" s="6"/>
      <c r="F139" s="7">
        <f t="shared" si="10"/>
        <v>91</v>
      </c>
      <c r="G139" s="9">
        <f t="shared" ca="1" si="11"/>
        <v>-45595</v>
      </c>
      <c r="H139" s="9"/>
      <c r="I139" s="50"/>
      <c r="J139" s="50"/>
      <c r="K139" s="50"/>
      <c r="L139" s="50"/>
      <c r="M139" s="50"/>
      <c r="N139" s="50"/>
      <c r="O139" s="50"/>
      <c r="P139" s="50"/>
      <c r="Q139" s="50"/>
      <c r="R139" s="51"/>
    </row>
    <row r="140" spans="1:18" ht="18" customHeight="1" x14ac:dyDescent="0.3">
      <c r="A140" s="18">
        <v>137</v>
      </c>
      <c r="B140" s="7">
        <f t="shared" ca="1" si="8"/>
        <v>44850.420338541669</v>
      </c>
      <c r="C140" s="8">
        <f t="shared" ca="1" si="9"/>
        <v>44850.420338541669</v>
      </c>
      <c r="D140" s="6" t="s">
        <v>161</v>
      </c>
      <c r="E140" s="6"/>
      <c r="F140" s="7">
        <f t="shared" si="10"/>
        <v>91</v>
      </c>
      <c r="G140" s="9">
        <f t="shared" ca="1" si="11"/>
        <v>-45595</v>
      </c>
      <c r="H140" s="9"/>
      <c r="I140" s="50"/>
      <c r="J140" s="50"/>
      <c r="K140" s="50"/>
      <c r="L140" s="50"/>
      <c r="M140" s="50"/>
      <c r="N140" s="50"/>
      <c r="O140" s="50"/>
      <c r="P140" s="50"/>
      <c r="Q140" s="50"/>
      <c r="R140" s="51"/>
    </row>
    <row r="141" spans="1:18" ht="18" customHeight="1" x14ac:dyDescent="0.3">
      <c r="A141" s="18">
        <v>138</v>
      </c>
      <c r="B141" s="7">
        <f t="shared" ca="1" si="8"/>
        <v>44850.420354398149</v>
      </c>
      <c r="C141" s="8">
        <f t="shared" ca="1" si="9"/>
        <v>44850.420354398149</v>
      </c>
      <c r="D141" s="6" t="s">
        <v>162</v>
      </c>
      <c r="E141" s="6"/>
      <c r="F141" s="7">
        <f t="shared" si="10"/>
        <v>91</v>
      </c>
      <c r="G141" s="9">
        <f t="shared" ca="1" si="11"/>
        <v>-45595</v>
      </c>
      <c r="H141" s="9"/>
      <c r="I141" s="50"/>
      <c r="J141" s="50"/>
      <c r="K141" s="50"/>
      <c r="L141" s="50"/>
      <c r="M141" s="50"/>
      <c r="N141" s="50"/>
      <c r="O141" s="50"/>
      <c r="P141" s="50"/>
      <c r="Q141" s="50"/>
      <c r="R141" s="51"/>
    </row>
    <row r="142" spans="1:18" ht="18" customHeight="1" x14ac:dyDescent="0.3">
      <c r="A142" s="18">
        <v>139</v>
      </c>
      <c r="B142" s="7">
        <f t="shared" ca="1" si="8"/>
        <v>44850.420372569446</v>
      </c>
      <c r="C142" s="8">
        <f t="shared" ca="1" si="9"/>
        <v>44850.420372569446</v>
      </c>
      <c r="D142" s="6" t="s">
        <v>163</v>
      </c>
      <c r="E142" s="6"/>
      <c r="F142" s="7">
        <f t="shared" si="10"/>
        <v>91</v>
      </c>
      <c r="G142" s="9">
        <f t="shared" ca="1" si="11"/>
        <v>-45595</v>
      </c>
      <c r="H142" s="9"/>
      <c r="I142" s="50"/>
      <c r="J142" s="50"/>
      <c r="K142" s="50"/>
      <c r="L142" s="50"/>
      <c r="M142" s="50"/>
      <c r="N142" s="50"/>
      <c r="O142" s="50"/>
      <c r="P142" s="50"/>
      <c r="Q142" s="50"/>
      <c r="R142" s="51"/>
    </row>
    <row r="143" spans="1:18" ht="18" customHeight="1" x14ac:dyDescent="0.3">
      <c r="A143" s="18">
        <v>140</v>
      </c>
      <c r="B143" s="7">
        <f t="shared" ca="1" si="8"/>
        <v>44850.420388194441</v>
      </c>
      <c r="C143" s="8">
        <f t="shared" ca="1" si="9"/>
        <v>44850.420388194441</v>
      </c>
      <c r="D143" s="6" t="s">
        <v>164</v>
      </c>
      <c r="E143" s="6"/>
      <c r="F143" s="7">
        <f t="shared" si="10"/>
        <v>91</v>
      </c>
      <c r="G143" s="9">
        <f t="shared" ca="1" si="11"/>
        <v>-45595</v>
      </c>
      <c r="H143" s="9"/>
      <c r="I143" s="50"/>
      <c r="J143" s="50"/>
      <c r="K143" s="50"/>
      <c r="L143" s="50"/>
      <c r="M143" s="50"/>
      <c r="N143" s="50"/>
      <c r="O143" s="50"/>
      <c r="P143" s="50"/>
      <c r="Q143" s="50"/>
      <c r="R143" s="51"/>
    </row>
    <row r="144" spans="1:18" ht="18" customHeight="1" x14ac:dyDescent="0.3">
      <c r="A144" s="18">
        <v>141</v>
      </c>
      <c r="B144" s="7">
        <f t="shared" ca="1" si="8"/>
        <v>44850.420424652781</v>
      </c>
      <c r="C144" s="8">
        <f t="shared" ca="1" si="9"/>
        <v>44850.420424652781</v>
      </c>
      <c r="D144" s="6" t="s">
        <v>165</v>
      </c>
      <c r="E144" s="6"/>
      <c r="F144" s="7">
        <f t="shared" si="10"/>
        <v>91</v>
      </c>
      <c r="G144" s="9">
        <f t="shared" ca="1" si="11"/>
        <v>-45595</v>
      </c>
      <c r="H144" s="9"/>
      <c r="I144" s="50"/>
      <c r="J144" s="50"/>
      <c r="K144" s="50"/>
      <c r="L144" s="50"/>
      <c r="M144" s="50"/>
      <c r="N144" s="50"/>
      <c r="O144" s="50"/>
      <c r="P144" s="50"/>
      <c r="Q144" s="50"/>
      <c r="R144" s="51"/>
    </row>
    <row r="145" spans="1:18" ht="18" customHeight="1" x14ac:dyDescent="0.3">
      <c r="A145" s="18">
        <v>142</v>
      </c>
      <c r="B145" s="7">
        <f t="shared" ca="1" si="8"/>
        <v>44850.420453472223</v>
      </c>
      <c r="C145" s="8">
        <f t="shared" ca="1" si="9"/>
        <v>44850.420453472223</v>
      </c>
      <c r="D145" s="6" t="s">
        <v>166</v>
      </c>
      <c r="E145" s="6"/>
      <c r="F145" s="7">
        <f t="shared" si="10"/>
        <v>91</v>
      </c>
      <c r="G145" s="9">
        <f t="shared" ca="1" si="11"/>
        <v>-45595</v>
      </c>
      <c r="H145" s="9"/>
      <c r="I145" s="50"/>
      <c r="J145" s="50"/>
      <c r="K145" s="50"/>
      <c r="L145" s="50"/>
      <c r="M145" s="50"/>
      <c r="N145" s="50"/>
      <c r="O145" s="50"/>
      <c r="P145" s="50"/>
      <c r="Q145" s="50"/>
      <c r="R145" s="51"/>
    </row>
    <row r="146" spans="1:18" ht="18" customHeight="1" x14ac:dyDescent="0.3">
      <c r="A146" s="18">
        <v>143</v>
      </c>
      <c r="B146" s="7">
        <f t="shared" ca="1" si="8"/>
        <v>44850.420470254627</v>
      </c>
      <c r="C146" s="8">
        <f t="shared" ca="1" si="9"/>
        <v>44850.420470254627</v>
      </c>
      <c r="D146" s="6" t="s">
        <v>167</v>
      </c>
      <c r="E146" s="6"/>
      <c r="F146" s="7">
        <f t="shared" si="10"/>
        <v>91</v>
      </c>
      <c r="G146" s="9">
        <f t="shared" ca="1" si="11"/>
        <v>-45595</v>
      </c>
      <c r="H146" s="9"/>
      <c r="I146" s="50"/>
      <c r="J146" s="50"/>
      <c r="K146" s="50"/>
      <c r="L146" s="50"/>
      <c r="M146" s="50"/>
      <c r="N146" s="50"/>
      <c r="O146" s="50"/>
      <c r="P146" s="50"/>
      <c r="Q146" s="50"/>
      <c r="R146" s="51"/>
    </row>
    <row r="147" spans="1:18" ht="18" customHeight="1" x14ac:dyDescent="0.3">
      <c r="A147" s="18">
        <v>144</v>
      </c>
      <c r="B147" s="7">
        <f t="shared" ca="1" si="8"/>
        <v>44850.420486111114</v>
      </c>
      <c r="C147" s="8">
        <f t="shared" ca="1" si="9"/>
        <v>44850.420486111114</v>
      </c>
      <c r="D147" s="6" t="s">
        <v>168</v>
      </c>
      <c r="E147" s="6"/>
      <c r="F147" s="7">
        <f t="shared" si="10"/>
        <v>91</v>
      </c>
      <c r="G147" s="9">
        <f t="shared" ca="1" si="11"/>
        <v>-45595</v>
      </c>
      <c r="H147" s="9"/>
      <c r="I147" s="50"/>
      <c r="J147" s="50"/>
      <c r="K147" s="50"/>
      <c r="L147" s="50"/>
      <c r="M147" s="50"/>
      <c r="N147" s="50"/>
      <c r="O147" s="50"/>
      <c r="P147" s="50"/>
      <c r="Q147" s="50"/>
      <c r="R147" s="51"/>
    </row>
    <row r="148" spans="1:18" ht="18" customHeight="1" x14ac:dyDescent="0.3">
      <c r="A148" s="18">
        <v>145</v>
      </c>
      <c r="B148" s="7">
        <f t="shared" ca="1" si="8"/>
        <v>44850.42050162037</v>
      </c>
      <c r="C148" s="8">
        <f t="shared" ca="1" si="9"/>
        <v>44850.42050162037</v>
      </c>
      <c r="D148" s="6" t="s">
        <v>169</v>
      </c>
      <c r="E148" s="6"/>
      <c r="F148" s="7">
        <f t="shared" si="10"/>
        <v>91</v>
      </c>
      <c r="G148" s="9">
        <f t="shared" ca="1" si="11"/>
        <v>-45595</v>
      </c>
      <c r="H148" s="9"/>
      <c r="I148" s="50"/>
      <c r="J148" s="50"/>
      <c r="K148" s="50"/>
      <c r="L148" s="50"/>
      <c r="M148" s="50"/>
      <c r="N148" s="50"/>
      <c r="O148" s="50"/>
      <c r="P148" s="50"/>
      <c r="Q148" s="50"/>
      <c r="R148" s="51"/>
    </row>
    <row r="149" spans="1:18" ht="18" customHeight="1" x14ac:dyDescent="0.3">
      <c r="A149" s="18">
        <v>146</v>
      </c>
      <c r="B149" s="7">
        <f t="shared" ca="1" si="8"/>
        <v>44850.420558101854</v>
      </c>
      <c r="C149" s="8">
        <f t="shared" ca="1" si="9"/>
        <v>44850.420558101854</v>
      </c>
      <c r="D149" s="6" t="s">
        <v>170</v>
      </c>
      <c r="E149" s="6"/>
      <c r="F149" s="7">
        <f t="shared" si="10"/>
        <v>91</v>
      </c>
      <c r="G149" s="9">
        <f t="shared" ca="1" si="11"/>
        <v>-45595</v>
      </c>
      <c r="H149" s="9"/>
      <c r="I149" s="50"/>
      <c r="J149" s="50"/>
      <c r="K149" s="50"/>
      <c r="L149" s="50"/>
      <c r="M149" s="50"/>
      <c r="N149" s="50"/>
      <c r="O149" s="50"/>
      <c r="P149" s="50"/>
      <c r="Q149" s="50"/>
      <c r="R149" s="51"/>
    </row>
    <row r="150" spans="1:18" ht="18" customHeight="1" x14ac:dyDescent="0.3">
      <c r="A150" s="18">
        <v>147</v>
      </c>
      <c r="B150" s="7">
        <f t="shared" ca="1" si="8"/>
        <v>44850.420577546298</v>
      </c>
      <c r="C150" s="8">
        <f t="shared" ca="1" si="9"/>
        <v>44850.420577546298</v>
      </c>
      <c r="D150" s="6" t="s">
        <v>171</v>
      </c>
      <c r="E150" s="6"/>
      <c r="F150" s="7">
        <f t="shared" si="10"/>
        <v>91</v>
      </c>
      <c r="G150" s="9">
        <f t="shared" ca="1" si="11"/>
        <v>-45595</v>
      </c>
      <c r="H150" s="9"/>
      <c r="I150" s="50"/>
      <c r="J150" s="50"/>
      <c r="K150" s="50"/>
      <c r="L150" s="50"/>
      <c r="M150" s="50"/>
      <c r="N150" s="50"/>
      <c r="O150" s="50"/>
      <c r="P150" s="50"/>
      <c r="Q150" s="50"/>
      <c r="R150" s="51"/>
    </row>
    <row r="151" spans="1:18" ht="18" customHeight="1" x14ac:dyDescent="0.3">
      <c r="A151" s="18">
        <v>148</v>
      </c>
      <c r="B151" s="7">
        <f t="shared" ca="1" si="8"/>
        <v>44850.420600578705</v>
      </c>
      <c r="C151" s="8">
        <f t="shared" ca="1" si="9"/>
        <v>44850.420600578705</v>
      </c>
      <c r="D151" s="6" t="s">
        <v>18</v>
      </c>
      <c r="E151" s="6"/>
      <c r="F151" s="7">
        <f t="shared" si="10"/>
        <v>91</v>
      </c>
      <c r="G151" s="9">
        <f t="shared" ca="1" si="11"/>
        <v>-45595</v>
      </c>
      <c r="H151" s="9"/>
      <c r="I151" s="50"/>
      <c r="J151" s="50"/>
      <c r="K151" s="50"/>
      <c r="L151" s="50"/>
      <c r="M151" s="50"/>
      <c r="N151" s="50"/>
      <c r="O151" s="50"/>
      <c r="P151" s="50"/>
      <c r="Q151" s="50"/>
      <c r="R151" s="51"/>
    </row>
    <row r="152" spans="1:18" ht="18" customHeight="1" x14ac:dyDescent="0.3">
      <c r="A152" s="18">
        <v>149</v>
      </c>
      <c r="B152" s="7">
        <f t="shared" ca="1" si="8"/>
        <v>44850.420616319447</v>
      </c>
      <c r="C152" s="8">
        <f t="shared" ca="1" si="9"/>
        <v>44850.420616319447</v>
      </c>
      <c r="D152" s="6" t="s">
        <v>19</v>
      </c>
      <c r="E152" s="6"/>
      <c r="F152" s="7">
        <f t="shared" si="10"/>
        <v>91</v>
      </c>
      <c r="G152" s="9">
        <f t="shared" ca="1" si="11"/>
        <v>-45595</v>
      </c>
      <c r="H152" s="9"/>
      <c r="I152" s="50"/>
      <c r="J152" s="50"/>
      <c r="K152" s="50"/>
      <c r="L152" s="50"/>
      <c r="M152" s="50"/>
      <c r="N152" s="50"/>
      <c r="O152" s="50"/>
      <c r="P152" s="50"/>
      <c r="Q152" s="50"/>
      <c r="R152" s="51"/>
    </row>
    <row r="153" spans="1:18" ht="18" customHeight="1" x14ac:dyDescent="0.3">
      <c r="A153" s="18">
        <v>150</v>
      </c>
      <c r="B153" s="7">
        <f t="shared" ca="1" si="8"/>
        <v>44850.420631828703</v>
      </c>
      <c r="C153" s="8">
        <f t="shared" ca="1" si="9"/>
        <v>44850.420631828703</v>
      </c>
      <c r="D153" s="6" t="s">
        <v>172</v>
      </c>
      <c r="E153" s="6"/>
      <c r="F153" s="7">
        <f t="shared" si="10"/>
        <v>91</v>
      </c>
      <c r="G153" s="9">
        <f t="shared" ca="1" si="11"/>
        <v>-45595</v>
      </c>
      <c r="H153" s="9"/>
      <c r="I153" s="50"/>
      <c r="J153" s="50"/>
      <c r="K153" s="50"/>
      <c r="L153" s="50"/>
      <c r="M153" s="50"/>
      <c r="N153" s="50"/>
      <c r="O153" s="50"/>
      <c r="P153" s="50"/>
      <c r="Q153" s="50"/>
      <c r="R153" s="51"/>
    </row>
    <row r="154" spans="1:18" ht="18" customHeight="1" x14ac:dyDescent="0.3">
      <c r="A154" s="18">
        <v>151</v>
      </c>
      <c r="B154" s="7">
        <f t="shared" ca="1" si="8"/>
        <v>44850.420647106483</v>
      </c>
      <c r="C154" s="8">
        <f t="shared" ca="1" si="9"/>
        <v>44850.420647106483</v>
      </c>
      <c r="D154" s="6" t="s">
        <v>173</v>
      </c>
      <c r="E154" s="6"/>
      <c r="F154" s="7">
        <f t="shared" si="10"/>
        <v>91</v>
      </c>
      <c r="G154" s="9">
        <f t="shared" ca="1" si="11"/>
        <v>-45595</v>
      </c>
      <c r="H154" s="9"/>
      <c r="I154" s="50"/>
      <c r="J154" s="50"/>
      <c r="K154" s="50"/>
      <c r="L154" s="50"/>
      <c r="M154" s="50"/>
      <c r="N154" s="50"/>
      <c r="O154" s="50"/>
      <c r="P154" s="50"/>
      <c r="Q154" s="50"/>
      <c r="R154" s="51"/>
    </row>
    <row r="155" spans="1:18" ht="18" customHeight="1" x14ac:dyDescent="0.3">
      <c r="A155" s="18">
        <v>152</v>
      </c>
      <c r="B155" s="7">
        <f t="shared" ca="1" si="8"/>
        <v>44850.420663194447</v>
      </c>
      <c r="C155" s="8">
        <f t="shared" ca="1" si="9"/>
        <v>44850.420663194447</v>
      </c>
      <c r="D155" s="6" t="s">
        <v>174</v>
      </c>
      <c r="E155" s="6"/>
      <c r="F155" s="7">
        <f t="shared" si="10"/>
        <v>91</v>
      </c>
      <c r="G155" s="9">
        <f t="shared" ca="1" si="11"/>
        <v>-45595</v>
      </c>
      <c r="H155" s="9"/>
      <c r="I155" s="50"/>
      <c r="J155" s="50"/>
      <c r="K155" s="50"/>
      <c r="L155" s="50"/>
      <c r="M155" s="50"/>
      <c r="N155" s="50"/>
      <c r="O155" s="50"/>
      <c r="P155" s="50"/>
      <c r="Q155" s="50"/>
      <c r="R155" s="51"/>
    </row>
    <row r="156" spans="1:18" ht="18" customHeight="1" x14ac:dyDescent="0.3">
      <c r="A156" s="18">
        <v>153</v>
      </c>
      <c r="B156" s="7">
        <f t="shared" ca="1" si="8"/>
        <v>44850.420698842594</v>
      </c>
      <c r="C156" s="8">
        <f t="shared" ca="1" si="9"/>
        <v>44850.420698842594</v>
      </c>
      <c r="D156" s="6" t="s">
        <v>175</v>
      </c>
      <c r="E156" s="6"/>
      <c r="F156" s="7">
        <f t="shared" si="10"/>
        <v>91</v>
      </c>
      <c r="G156" s="9">
        <f t="shared" ca="1" si="11"/>
        <v>-45595</v>
      </c>
      <c r="H156" s="9"/>
      <c r="I156" s="50"/>
      <c r="J156" s="50"/>
      <c r="K156" s="50"/>
      <c r="L156" s="50"/>
      <c r="M156" s="50"/>
      <c r="N156" s="50"/>
      <c r="O156" s="50"/>
      <c r="P156" s="50"/>
      <c r="Q156" s="50"/>
      <c r="R156" s="51"/>
    </row>
    <row r="157" spans="1:18" ht="18" customHeight="1" x14ac:dyDescent="0.3">
      <c r="A157" s="18">
        <v>154</v>
      </c>
      <c r="B157" s="7">
        <f t="shared" ca="1" si="8"/>
        <v>44850.42071608796</v>
      </c>
      <c r="C157" s="8">
        <f t="shared" ca="1" si="9"/>
        <v>44850.42071608796</v>
      </c>
      <c r="D157" s="6" t="s">
        <v>176</v>
      </c>
      <c r="E157" s="6"/>
      <c r="F157" s="7">
        <f t="shared" si="10"/>
        <v>91</v>
      </c>
      <c r="G157" s="9">
        <f t="shared" ca="1" si="11"/>
        <v>-45595</v>
      </c>
      <c r="H157" s="9"/>
      <c r="I157" s="50"/>
      <c r="J157" s="50"/>
      <c r="K157" s="50"/>
      <c r="L157" s="50"/>
      <c r="M157" s="50"/>
      <c r="N157" s="50"/>
      <c r="O157" s="50"/>
      <c r="P157" s="50"/>
      <c r="Q157" s="50"/>
      <c r="R157" s="51"/>
    </row>
    <row r="158" spans="1:18" ht="18" customHeight="1" x14ac:dyDescent="0.3">
      <c r="A158" s="18">
        <v>155</v>
      </c>
      <c r="B158" s="7">
        <f t="shared" ca="1" si="8"/>
        <v>44850.42073229167</v>
      </c>
      <c r="C158" s="8">
        <f t="shared" ca="1" si="9"/>
        <v>44850.42073229167</v>
      </c>
      <c r="D158" s="6" t="s">
        <v>177</v>
      </c>
      <c r="E158" s="6"/>
      <c r="F158" s="7">
        <f t="shared" si="10"/>
        <v>91</v>
      </c>
      <c r="G158" s="9">
        <f t="shared" ca="1" si="11"/>
        <v>-45595</v>
      </c>
      <c r="H158" s="9"/>
      <c r="I158" s="50"/>
      <c r="J158" s="50"/>
      <c r="K158" s="50"/>
      <c r="L158" s="50"/>
      <c r="M158" s="50"/>
      <c r="N158" s="50"/>
      <c r="O158" s="50"/>
      <c r="P158" s="50"/>
      <c r="Q158" s="50"/>
      <c r="R158" s="51"/>
    </row>
    <row r="159" spans="1:18" ht="18" customHeight="1" x14ac:dyDescent="0.3">
      <c r="A159" s="18">
        <v>156</v>
      </c>
      <c r="B159" s="7">
        <f t="shared" ca="1" si="8"/>
        <v>44850.42074710648</v>
      </c>
      <c r="C159" s="8">
        <f t="shared" ca="1" si="9"/>
        <v>44850.42074710648</v>
      </c>
      <c r="D159" s="6" t="s">
        <v>178</v>
      </c>
      <c r="E159" s="6"/>
      <c r="F159" s="7">
        <f t="shared" si="10"/>
        <v>91</v>
      </c>
      <c r="G159" s="9">
        <f t="shared" ca="1" si="11"/>
        <v>-45595</v>
      </c>
      <c r="H159" s="9"/>
      <c r="I159" s="50"/>
      <c r="J159" s="50"/>
      <c r="K159" s="50"/>
      <c r="L159" s="50"/>
      <c r="M159" s="50"/>
      <c r="N159" s="50"/>
      <c r="O159" s="50"/>
      <c r="P159" s="50"/>
      <c r="Q159" s="50"/>
      <c r="R159" s="51"/>
    </row>
    <row r="160" spans="1:18" ht="18" customHeight="1" x14ac:dyDescent="0.3">
      <c r="A160" s="18">
        <v>157</v>
      </c>
      <c r="B160" s="7">
        <f t="shared" ca="1" si="8"/>
        <v>44850.420762847221</v>
      </c>
      <c r="C160" s="8">
        <f t="shared" ca="1" si="9"/>
        <v>44850.420762847221</v>
      </c>
      <c r="D160" s="6" t="s">
        <v>179</v>
      </c>
      <c r="E160" s="6"/>
      <c r="F160" s="7">
        <f t="shared" si="10"/>
        <v>91</v>
      </c>
      <c r="G160" s="9">
        <f t="shared" ca="1" si="11"/>
        <v>-45595</v>
      </c>
      <c r="H160" s="9"/>
      <c r="I160" s="50"/>
      <c r="J160" s="50"/>
      <c r="K160" s="50"/>
      <c r="L160" s="50"/>
      <c r="M160" s="50"/>
      <c r="N160" s="50"/>
      <c r="O160" s="50"/>
      <c r="P160" s="50"/>
      <c r="Q160" s="50"/>
      <c r="R160" s="51"/>
    </row>
    <row r="161" spans="1:18" ht="18" customHeight="1" x14ac:dyDescent="0.3">
      <c r="A161" s="18">
        <v>158</v>
      </c>
      <c r="B161" s="7">
        <f t="shared" ca="1" si="8"/>
        <v>44850.420779629632</v>
      </c>
      <c r="C161" s="8">
        <f t="shared" ca="1" si="9"/>
        <v>44850.420779629632</v>
      </c>
      <c r="D161" s="6" t="s">
        <v>180</v>
      </c>
      <c r="E161" s="6"/>
      <c r="F161" s="7">
        <f t="shared" si="10"/>
        <v>91</v>
      </c>
      <c r="G161" s="9">
        <f t="shared" ca="1" si="11"/>
        <v>-45595</v>
      </c>
      <c r="H161" s="9"/>
      <c r="I161" s="50"/>
      <c r="J161" s="50"/>
      <c r="K161" s="50"/>
      <c r="L161" s="50"/>
      <c r="M161" s="50"/>
      <c r="N161" s="50"/>
      <c r="O161" s="50"/>
      <c r="P161" s="50"/>
      <c r="Q161" s="50"/>
      <c r="R161" s="51"/>
    </row>
    <row r="162" spans="1:18" ht="18" customHeight="1" x14ac:dyDescent="0.3">
      <c r="A162" s="18">
        <v>159</v>
      </c>
      <c r="B162" s="7">
        <f t="shared" ca="1" si="8"/>
        <v>44850.420795833335</v>
      </c>
      <c r="C162" s="8">
        <f t="shared" ca="1" si="9"/>
        <v>44850.420795833335</v>
      </c>
      <c r="D162" s="6" t="s">
        <v>181</v>
      </c>
      <c r="E162" s="6"/>
      <c r="F162" s="7">
        <f t="shared" si="10"/>
        <v>91</v>
      </c>
      <c r="G162" s="9">
        <f t="shared" ca="1" si="11"/>
        <v>-45595</v>
      </c>
      <c r="H162" s="9"/>
      <c r="I162" s="50"/>
      <c r="J162" s="50"/>
      <c r="K162" s="50"/>
      <c r="L162" s="50"/>
      <c r="M162" s="50"/>
      <c r="N162" s="50"/>
      <c r="O162" s="50"/>
      <c r="P162" s="50"/>
      <c r="Q162" s="50"/>
      <c r="R162" s="51"/>
    </row>
    <row r="163" spans="1:18" ht="18" customHeight="1" x14ac:dyDescent="0.3">
      <c r="A163" s="18">
        <v>160</v>
      </c>
      <c r="B163" s="7">
        <f t="shared" ca="1" si="8"/>
        <v>44850.420811226853</v>
      </c>
      <c r="C163" s="8">
        <f t="shared" ca="1" si="9"/>
        <v>44850.420811226853</v>
      </c>
      <c r="D163" s="6" t="s">
        <v>182</v>
      </c>
      <c r="E163" s="6"/>
      <c r="F163" s="7">
        <f t="shared" si="10"/>
        <v>91</v>
      </c>
      <c r="G163" s="9">
        <f t="shared" ca="1" si="11"/>
        <v>-45595</v>
      </c>
      <c r="H163" s="9"/>
      <c r="I163" s="50"/>
      <c r="J163" s="50"/>
      <c r="K163" s="50"/>
      <c r="L163" s="50"/>
      <c r="M163" s="50"/>
      <c r="N163" s="50"/>
      <c r="O163" s="50"/>
      <c r="P163" s="50"/>
      <c r="Q163" s="50"/>
      <c r="R163" s="51"/>
    </row>
    <row r="164" spans="1:18" ht="18" customHeight="1" x14ac:dyDescent="0.3">
      <c r="A164" s="18">
        <v>161</v>
      </c>
      <c r="B164" s="7">
        <f t="shared" ca="1" si="8"/>
        <v>44850.420843287036</v>
      </c>
      <c r="C164" s="8">
        <f t="shared" ca="1" si="9"/>
        <v>44850.420843287036</v>
      </c>
      <c r="D164" s="6" t="s">
        <v>183</v>
      </c>
      <c r="E164" s="6"/>
      <c r="F164" s="7">
        <f t="shared" si="10"/>
        <v>91</v>
      </c>
      <c r="G164" s="9">
        <f t="shared" ca="1" si="11"/>
        <v>-45595</v>
      </c>
      <c r="H164" s="9"/>
      <c r="I164" s="50"/>
      <c r="J164" s="50"/>
      <c r="K164" s="50"/>
      <c r="L164" s="50"/>
      <c r="M164" s="50"/>
      <c r="N164" s="50"/>
      <c r="O164" s="50"/>
      <c r="P164" s="50"/>
      <c r="Q164" s="50"/>
      <c r="R164" s="51"/>
    </row>
    <row r="165" spans="1:18" ht="18" customHeight="1" x14ac:dyDescent="0.3">
      <c r="A165" s="18">
        <v>162</v>
      </c>
      <c r="B165" s="7">
        <f t="shared" ca="1" si="8"/>
        <v>44850.420866087959</v>
      </c>
      <c r="C165" s="8">
        <f t="shared" ca="1" si="9"/>
        <v>44850.420866087959</v>
      </c>
      <c r="D165" s="6" t="s">
        <v>184</v>
      </c>
      <c r="E165" s="6"/>
      <c r="F165" s="7">
        <f t="shared" si="10"/>
        <v>91</v>
      </c>
      <c r="G165" s="9">
        <f t="shared" ca="1" si="11"/>
        <v>-45595</v>
      </c>
      <c r="H165" s="9"/>
      <c r="I165" s="50"/>
      <c r="J165" s="50"/>
      <c r="K165" s="50"/>
      <c r="L165" s="50"/>
      <c r="M165" s="50"/>
      <c r="N165" s="50"/>
      <c r="O165" s="50"/>
      <c r="P165" s="50"/>
      <c r="Q165" s="50"/>
      <c r="R165" s="51"/>
    </row>
    <row r="166" spans="1:18" ht="18" customHeight="1" x14ac:dyDescent="0.3">
      <c r="A166" s="18">
        <v>163</v>
      </c>
      <c r="B166" s="7">
        <f t="shared" ca="1" si="8"/>
        <v>44850.420884490741</v>
      </c>
      <c r="C166" s="8">
        <f t="shared" ca="1" si="9"/>
        <v>44850.420884490741</v>
      </c>
      <c r="D166" s="6" t="s">
        <v>185</v>
      </c>
      <c r="E166" s="6"/>
      <c r="F166" s="7">
        <f t="shared" si="10"/>
        <v>91</v>
      </c>
      <c r="G166" s="9">
        <f t="shared" ca="1" si="11"/>
        <v>-45595</v>
      </c>
      <c r="H166" s="9"/>
      <c r="I166" s="50"/>
      <c r="J166" s="50"/>
      <c r="K166" s="50"/>
      <c r="L166" s="50"/>
      <c r="M166" s="50"/>
      <c r="N166" s="50"/>
      <c r="O166" s="50"/>
      <c r="P166" s="50"/>
      <c r="Q166" s="50"/>
      <c r="R166" s="51"/>
    </row>
    <row r="167" spans="1:18" ht="18" customHeight="1" x14ac:dyDescent="0.3">
      <c r="A167" s="18">
        <v>164</v>
      </c>
      <c r="B167" s="7">
        <f t="shared" ca="1" si="8"/>
        <v>44850.420903009261</v>
      </c>
      <c r="C167" s="8">
        <f t="shared" ca="1" si="9"/>
        <v>44850.420903009261</v>
      </c>
      <c r="D167" s="6" t="s">
        <v>186</v>
      </c>
      <c r="E167" s="6"/>
      <c r="F167" s="7">
        <f t="shared" si="10"/>
        <v>91</v>
      </c>
      <c r="G167" s="9">
        <f t="shared" ca="1" si="11"/>
        <v>-45595</v>
      </c>
      <c r="H167" s="9"/>
      <c r="I167" s="50"/>
      <c r="J167" s="50"/>
      <c r="K167" s="50"/>
      <c r="L167" s="50"/>
      <c r="M167" s="50"/>
      <c r="N167" s="50"/>
      <c r="O167" s="50"/>
      <c r="P167" s="50"/>
      <c r="Q167" s="50"/>
      <c r="R167" s="51"/>
    </row>
    <row r="168" spans="1:18" ht="18" customHeight="1" x14ac:dyDescent="0.3">
      <c r="A168" s="18">
        <v>165</v>
      </c>
      <c r="B168" s="7">
        <f t="shared" ca="1" si="8"/>
        <v>44850.420922916666</v>
      </c>
      <c r="C168" s="8">
        <f t="shared" ca="1" si="9"/>
        <v>44850.420922916666</v>
      </c>
      <c r="D168" s="6" t="s">
        <v>187</v>
      </c>
      <c r="E168" s="6"/>
      <c r="F168" s="7">
        <f t="shared" si="10"/>
        <v>91</v>
      </c>
      <c r="G168" s="9">
        <f t="shared" ca="1" si="11"/>
        <v>-45595</v>
      </c>
      <c r="H168" s="9"/>
      <c r="I168" s="50"/>
      <c r="J168" s="50"/>
      <c r="K168" s="50"/>
      <c r="L168" s="50"/>
      <c r="M168" s="50"/>
      <c r="N168" s="50"/>
      <c r="O168" s="50"/>
      <c r="P168" s="50"/>
      <c r="Q168" s="50"/>
      <c r="R168" s="51"/>
    </row>
    <row r="169" spans="1:18" ht="18" customHeight="1" x14ac:dyDescent="0.3">
      <c r="A169" s="18">
        <v>166</v>
      </c>
      <c r="B169" s="7">
        <f t="shared" ca="1" si="8"/>
        <v>44850.420940856478</v>
      </c>
      <c r="C169" s="8">
        <f t="shared" ca="1" si="9"/>
        <v>44850.420940856478</v>
      </c>
      <c r="D169" s="6" t="s">
        <v>188</v>
      </c>
      <c r="E169" s="6"/>
      <c r="F169" s="7">
        <f t="shared" si="10"/>
        <v>91</v>
      </c>
      <c r="G169" s="9">
        <f t="shared" ca="1" si="11"/>
        <v>-45595</v>
      </c>
      <c r="H169" s="9"/>
      <c r="I169" s="50"/>
      <c r="J169" s="50"/>
      <c r="K169" s="50"/>
      <c r="L169" s="50"/>
      <c r="M169" s="50"/>
      <c r="N169" s="50"/>
      <c r="O169" s="50"/>
      <c r="P169" s="50"/>
      <c r="Q169" s="50"/>
      <c r="R169" s="51"/>
    </row>
    <row r="170" spans="1:18" ht="18" customHeight="1" x14ac:dyDescent="0.3">
      <c r="A170" s="18">
        <v>167</v>
      </c>
      <c r="B170" s="7">
        <f t="shared" ca="1" si="8"/>
        <v>44850.420959374998</v>
      </c>
      <c r="C170" s="8">
        <f t="shared" ca="1" si="9"/>
        <v>44850.420959374998</v>
      </c>
      <c r="D170" s="6" t="s">
        <v>189</v>
      </c>
      <c r="E170" s="6"/>
      <c r="F170" s="7">
        <f t="shared" si="10"/>
        <v>91</v>
      </c>
      <c r="G170" s="9">
        <f t="shared" ca="1" si="11"/>
        <v>-45595</v>
      </c>
      <c r="H170" s="9"/>
      <c r="I170" s="50"/>
      <c r="J170" s="50"/>
      <c r="K170" s="50"/>
      <c r="L170" s="50"/>
      <c r="M170" s="50"/>
      <c r="N170" s="50"/>
      <c r="O170" s="50"/>
      <c r="P170" s="50"/>
      <c r="Q170" s="50"/>
      <c r="R170" s="51"/>
    </row>
    <row r="171" spans="1:18" ht="18" customHeight="1" x14ac:dyDescent="0.3">
      <c r="A171" s="18">
        <v>168</v>
      </c>
      <c r="B171" s="7">
        <f t="shared" ca="1" si="8"/>
        <v>44850.42097673611</v>
      </c>
      <c r="C171" s="8">
        <f t="shared" ca="1" si="9"/>
        <v>44850.42097673611</v>
      </c>
      <c r="D171" s="6" t="s">
        <v>190</v>
      </c>
      <c r="E171" s="6"/>
      <c r="F171" s="7">
        <f t="shared" si="10"/>
        <v>91</v>
      </c>
      <c r="G171" s="9">
        <f t="shared" ca="1" si="11"/>
        <v>-45595</v>
      </c>
      <c r="H171" s="9"/>
      <c r="I171" s="50"/>
      <c r="J171" s="50"/>
      <c r="K171" s="50"/>
      <c r="L171" s="50"/>
      <c r="M171" s="50"/>
      <c r="N171" s="50"/>
      <c r="O171" s="50"/>
      <c r="P171" s="50"/>
      <c r="Q171" s="50"/>
      <c r="R171" s="51"/>
    </row>
    <row r="172" spans="1:18" ht="18" customHeight="1" x14ac:dyDescent="0.3">
      <c r="A172" s="18">
        <v>169</v>
      </c>
      <c r="B172" s="7">
        <f t="shared" ca="1" si="8"/>
        <v>44850.420993865744</v>
      </c>
      <c r="C172" s="8">
        <f t="shared" ca="1" si="9"/>
        <v>44850.420993865744</v>
      </c>
      <c r="D172" s="6" t="s">
        <v>191</v>
      </c>
      <c r="E172" s="6"/>
      <c r="F172" s="7">
        <f t="shared" si="10"/>
        <v>91</v>
      </c>
      <c r="G172" s="9">
        <f t="shared" ca="1" si="11"/>
        <v>-45595</v>
      </c>
      <c r="H172" s="9"/>
      <c r="I172" s="50"/>
      <c r="J172" s="50"/>
      <c r="K172" s="50"/>
      <c r="L172" s="50"/>
      <c r="M172" s="50"/>
      <c r="N172" s="50"/>
      <c r="O172" s="50"/>
      <c r="P172" s="50"/>
      <c r="Q172" s="50"/>
      <c r="R172" s="51"/>
    </row>
    <row r="173" spans="1:18" ht="18" customHeight="1" x14ac:dyDescent="0.3">
      <c r="A173" s="18">
        <v>170</v>
      </c>
      <c r="B173" s="7">
        <f t="shared" ca="1" si="8"/>
        <v>44850.421042013892</v>
      </c>
      <c r="C173" s="8">
        <f t="shared" ca="1" si="9"/>
        <v>44850.421042013892</v>
      </c>
      <c r="D173" s="6" t="s">
        <v>192</v>
      </c>
      <c r="E173" s="6"/>
      <c r="F173" s="7">
        <f t="shared" si="10"/>
        <v>91</v>
      </c>
      <c r="G173" s="9">
        <f t="shared" ca="1" si="11"/>
        <v>-45595</v>
      </c>
      <c r="H173" s="9"/>
      <c r="I173" s="50"/>
      <c r="J173" s="50"/>
      <c r="K173" s="50"/>
      <c r="L173" s="50"/>
      <c r="M173" s="50"/>
      <c r="N173" s="50"/>
      <c r="O173" s="50"/>
      <c r="P173" s="50"/>
      <c r="Q173" s="50"/>
      <c r="R173" s="51"/>
    </row>
    <row r="174" spans="1:18" ht="18" customHeight="1" x14ac:dyDescent="0.3">
      <c r="A174" s="18">
        <v>171</v>
      </c>
      <c r="B174" s="7">
        <f t="shared" ca="1" si="8"/>
        <v>44850.421065393515</v>
      </c>
      <c r="C174" s="8">
        <f t="shared" ca="1" si="9"/>
        <v>44850.421065393515</v>
      </c>
      <c r="D174" s="6" t="s">
        <v>193</v>
      </c>
      <c r="E174" s="6"/>
      <c r="F174" s="7">
        <f t="shared" si="10"/>
        <v>91</v>
      </c>
      <c r="G174" s="9">
        <f t="shared" ca="1" si="11"/>
        <v>-45595</v>
      </c>
      <c r="H174" s="9"/>
      <c r="I174" s="50"/>
      <c r="J174" s="50"/>
      <c r="K174" s="50"/>
      <c r="L174" s="50"/>
      <c r="M174" s="50"/>
      <c r="N174" s="50"/>
      <c r="O174" s="50"/>
      <c r="P174" s="50"/>
      <c r="Q174" s="50"/>
      <c r="R174" s="51"/>
    </row>
    <row r="175" spans="1:18" ht="18" customHeight="1" x14ac:dyDescent="0.3">
      <c r="A175" s="18">
        <v>172</v>
      </c>
      <c r="B175" s="7">
        <f t="shared" ca="1" si="8"/>
        <v>44850.421083564812</v>
      </c>
      <c r="C175" s="8">
        <f t="shared" ca="1" si="9"/>
        <v>44850.421083564812</v>
      </c>
      <c r="D175" s="6" t="s">
        <v>194</v>
      </c>
      <c r="E175" s="6"/>
      <c r="F175" s="7">
        <f t="shared" si="10"/>
        <v>91</v>
      </c>
      <c r="G175" s="9">
        <f t="shared" ca="1" si="11"/>
        <v>-45595</v>
      </c>
      <c r="H175" s="9"/>
      <c r="I175" s="50"/>
      <c r="J175" s="50"/>
      <c r="K175" s="50"/>
      <c r="L175" s="50"/>
      <c r="M175" s="50"/>
      <c r="N175" s="50"/>
      <c r="O175" s="50"/>
      <c r="P175" s="50"/>
      <c r="Q175" s="50"/>
      <c r="R175" s="51"/>
    </row>
    <row r="176" spans="1:18" ht="18" customHeight="1" x14ac:dyDescent="0.3">
      <c r="A176" s="18">
        <v>173</v>
      </c>
      <c r="B176" s="7">
        <f t="shared" ca="1" si="8"/>
        <v>44850.421101388885</v>
      </c>
      <c r="C176" s="8">
        <f t="shared" ca="1" si="9"/>
        <v>44850.421101388885</v>
      </c>
      <c r="D176" s="6" t="s">
        <v>195</v>
      </c>
      <c r="E176" s="6"/>
      <c r="F176" s="7">
        <f t="shared" si="10"/>
        <v>91</v>
      </c>
      <c r="G176" s="9">
        <f t="shared" ca="1" si="11"/>
        <v>-45595</v>
      </c>
      <c r="H176" s="9"/>
      <c r="I176" s="50"/>
      <c r="J176" s="50"/>
      <c r="K176" s="50"/>
      <c r="L176" s="50"/>
      <c r="M176" s="50"/>
      <c r="N176" s="50"/>
      <c r="O176" s="50"/>
      <c r="P176" s="50"/>
      <c r="Q176" s="50"/>
      <c r="R176" s="51"/>
    </row>
    <row r="177" spans="1:18" ht="18" customHeight="1" x14ac:dyDescent="0.3">
      <c r="A177" s="18">
        <v>174</v>
      </c>
      <c r="B177" s="7">
        <f t="shared" ca="1" si="8"/>
        <v>44850.421120254628</v>
      </c>
      <c r="C177" s="8">
        <f t="shared" ca="1" si="9"/>
        <v>44850.421120254628</v>
      </c>
      <c r="D177" s="6" t="s">
        <v>196</v>
      </c>
      <c r="E177" s="6"/>
      <c r="F177" s="7">
        <f t="shared" si="10"/>
        <v>91</v>
      </c>
      <c r="G177" s="9">
        <f t="shared" ca="1" si="11"/>
        <v>-45595</v>
      </c>
      <c r="H177" s="9"/>
      <c r="I177" s="50"/>
      <c r="J177" s="50"/>
      <c r="K177" s="50"/>
      <c r="L177" s="50"/>
      <c r="M177" s="50"/>
      <c r="N177" s="50"/>
      <c r="O177" s="50"/>
      <c r="P177" s="50"/>
      <c r="Q177" s="50"/>
      <c r="R177" s="51"/>
    </row>
    <row r="178" spans="1:18" ht="18" customHeight="1" x14ac:dyDescent="0.3">
      <c r="A178" s="18">
        <v>175</v>
      </c>
      <c r="B178" s="7">
        <f t="shared" ca="1" si="8"/>
        <v>44850.421136805555</v>
      </c>
      <c r="C178" s="8">
        <f t="shared" ca="1" si="9"/>
        <v>44850.421136805555</v>
      </c>
      <c r="D178" s="6" t="s">
        <v>197</v>
      </c>
      <c r="E178" s="6"/>
      <c r="F178" s="7">
        <f t="shared" si="10"/>
        <v>91</v>
      </c>
      <c r="G178" s="9">
        <f t="shared" ca="1" si="11"/>
        <v>-45595</v>
      </c>
      <c r="H178" s="9"/>
      <c r="I178" s="50"/>
      <c r="J178" s="50"/>
      <c r="K178" s="50"/>
      <c r="L178" s="50"/>
      <c r="M178" s="50"/>
      <c r="N178" s="50"/>
      <c r="O178" s="50"/>
      <c r="P178" s="50"/>
      <c r="Q178" s="50"/>
      <c r="R178" s="51"/>
    </row>
    <row r="179" spans="1:18" ht="18" customHeight="1" x14ac:dyDescent="0.3">
      <c r="A179" s="18">
        <v>176</v>
      </c>
      <c r="B179" s="7">
        <f t="shared" ca="1" si="8"/>
        <v>44850.421152430557</v>
      </c>
      <c r="C179" s="8">
        <f t="shared" ca="1" si="9"/>
        <v>44850.421152430557</v>
      </c>
      <c r="D179" s="6" t="s">
        <v>198</v>
      </c>
      <c r="E179" s="6"/>
      <c r="F179" s="7">
        <f t="shared" si="10"/>
        <v>91</v>
      </c>
      <c r="G179" s="9">
        <f t="shared" ca="1" si="11"/>
        <v>-45595</v>
      </c>
      <c r="H179" s="9"/>
      <c r="I179" s="50"/>
      <c r="J179" s="50"/>
      <c r="K179" s="50"/>
      <c r="L179" s="50"/>
      <c r="M179" s="50"/>
      <c r="N179" s="50"/>
      <c r="O179" s="50"/>
      <c r="P179" s="50"/>
      <c r="Q179" s="50"/>
      <c r="R179" s="51"/>
    </row>
    <row r="180" spans="1:18" ht="18" customHeight="1" x14ac:dyDescent="0.3">
      <c r="A180" s="18">
        <v>177</v>
      </c>
      <c r="B180" s="7">
        <f t="shared" ca="1" si="8"/>
        <v>44850.421168518522</v>
      </c>
      <c r="C180" s="8">
        <f t="shared" ca="1" si="9"/>
        <v>44850.421168518522</v>
      </c>
      <c r="D180" s="6" t="s">
        <v>199</v>
      </c>
      <c r="E180" s="6"/>
      <c r="F180" s="7">
        <f t="shared" si="10"/>
        <v>91</v>
      </c>
      <c r="G180" s="9">
        <f t="shared" ca="1" si="11"/>
        <v>-45595</v>
      </c>
      <c r="H180" s="9"/>
      <c r="I180" s="50"/>
      <c r="J180" s="50"/>
      <c r="K180" s="50"/>
      <c r="L180" s="50"/>
      <c r="M180" s="50"/>
      <c r="N180" s="50"/>
      <c r="O180" s="50"/>
      <c r="P180" s="50"/>
      <c r="Q180" s="50"/>
      <c r="R180" s="51"/>
    </row>
    <row r="181" spans="1:18" ht="18" customHeight="1" x14ac:dyDescent="0.3">
      <c r="A181" s="18">
        <v>178</v>
      </c>
      <c r="B181" s="7">
        <f t="shared" ca="1" si="8"/>
        <v>44850.421185069441</v>
      </c>
      <c r="C181" s="8">
        <f t="shared" ca="1" si="9"/>
        <v>44850.421185069441</v>
      </c>
      <c r="D181" s="6" t="s">
        <v>200</v>
      </c>
      <c r="E181" s="6"/>
      <c r="F181" s="7">
        <f t="shared" si="10"/>
        <v>91</v>
      </c>
      <c r="G181" s="9">
        <f t="shared" ca="1" si="11"/>
        <v>-45595</v>
      </c>
      <c r="H181" s="9"/>
      <c r="I181" s="50"/>
      <c r="J181" s="50"/>
      <c r="K181" s="50"/>
      <c r="L181" s="50"/>
      <c r="M181" s="50"/>
      <c r="N181" s="50"/>
      <c r="O181" s="50"/>
      <c r="P181" s="50"/>
      <c r="Q181" s="50"/>
      <c r="R181" s="51"/>
    </row>
    <row r="182" spans="1:18" ht="18" customHeight="1" x14ac:dyDescent="0.3">
      <c r="A182" s="18">
        <v>179</v>
      </c>
      <c r="B182" s="7">
        <f t="shared" ca="1" si="8"/>
        <v>44850.421202430553</v>
      </c>
      <c r="C182" s="8">
        <f t="shared" ca="1" si="9"/>
        <v>44850.421202430553</v>
      </c>
      <c r="D182" s="6" t="s">
        <v>201</v>
      </c>
      <c r="E182" s="6"/>
      <c r="F182" s="7">
        <f t="shared" si="10"/>
        <v>91</v>
      </c>
      <c r="G182" s="9">
        <f t="shared" ca="1" si="11"/>
        <v>-45595</v>
      </c>
      <c r="H182" s="9"/>
      <c r="I182" s="50"/>
      <c r="J182" s="50"/>
      <c r="K182" s="50"/>
      <c r="L182" s="50"/>
      <c r="M182" s="50"/>
      <c r="N182" s="50"/>
      <c r="O182" s="50"/>
      <c r="P182" s="50"/>
      <c r="Q182" s="50"/>
      <c r="R182" s="51"/>
    </row>
    <row r="183" spans="1:18" ht="18" customHeight="1" x14ac:dyDescent="0.3">
      <c r="A183" s="18">
        <v>180</v>
      </c>
      <c r="B183" s="7">
        <f t="shared" ca="1" si="8"/>
        <v>44850.421218518517</v>
      </c>
      <c r="C183" s="8">
        <f t="shared" ca="1" si="9"/>
        <v>44850.421218518517</v>
      </c>
      <c r="D183" s="6" t="s">
        <v>202</v>
      </c>
      <c r="E183" s="6"/>
      <c r="F183" s="7">
        <f t="shared" si="10"/>
        <v>91</v>
      </c>
      <c r="G183" s="9">
        <f t="shared" ca="1" si="11"/>
        <v>-45595</v>
      </c>
      <c r="H183" s="9"/>
      <c r="I183" s="50"/>
      <c r="J183" s="50"/>
      <c r="K183" s="50"/>
      <c r="L183" s="50"/>
      <c r="M183" s="50"/>
      <c r="N183" s="50"/>
      <c r="O183" s="50"/>
      <c r="P183" s="50"/>
      <c r="Q183" s="50"/>
      <c r="R183" s="51"/>
    </row>
    <row r="184" spans="1:18" ht="18" customHeight="1" x14ac:dyDescent="0.3">
      <c r="A184" s="18">
        <v>181</v>
      </c>
      <c r="B184" s="7">
        <f t="shared" ca="1" si="8"/>
        <v>44850.42123472222</v>
      </c>
      <c r="C184" s="8">
        <f t="shared" ca="1" si="9"/>
        <v>44850.42123472222</v>
      </c>
      <c r="D184" s="6" t="s">
        <v>203</v>
      </c>
      <c r="E184" s="6"/>
      <c r="F184" s="7">
        <f t="shared" si="10"/>
        <v>91</v>
      </c>
      <c r="G184" s="9">
        <f t="shared" ca="1" si="11"/>
        <v>-45595</v>
      </c>
      <c r="H184" s="9"/>
      <c r="I184" s="50"/>
      <c r="J184" s="50"/>
      <c r="K184" s="50"/>
      <c r="L184" s="50"/>
      <c r="M184" s="50"/>
      <c r="N184" s="50"/>
      <c r="O184" s="50"/>
      <c r="P184" s="50"/>
      <c r="Q184" s="50"/>
      <c r="R184" s="51"/>
    </row>
    <row r="185" spans="1:18" ht="18" customHeight="1" x14ac:dyDescent="0.3">
      <c r="A185" s="18">
        <v>182</v>
      </c>
      <c r="B185" s="7">
        <f t="shared" ca="1" si="8"/>
        <v>44850.421253587963</v>
      </c>
      <c r="C185" s="8">
        <f t="shared" ca="1" si="9"/>
        <v>44850.421253587963</v>
      </c>
      <c r="D185" s="6" t="s">
        <v>204</v>
      </c>
      <c r="E185" s="6"/>
      <c r="F185" s="7">
        <f t="shared" si="10"/>
        <v>91</v>
      </c>
      <c r="G185" s="9">
        <f t="shared" ca="1" si="11"/>
        <v>-45595</v>
      </c>
      <c r="H185" s="9"/>
      <c r="I185" s="50"/>
      <c r="J185" s="50"/>
      <c r="K185" s="50"/>
      <c r="L185" s="50"/>
      <c r="M185" s="50"/>
      <c r="N185" s="50"/>
      <c r="O185" s="50"/>
      <c r="P185" s="50"/>
      <c r="Q185" s="50"/>
      <c r="R185" s="51"/>
    </row>
    <row r="186" spans="1:18" ht="18" customHeight="1" x14ac:dyDescent="0.3">
      <c r="A186" s="18">
        <v>183</v>
      </c>
      <c r="B186" s="7">
        <f t="shared" ca="1" si="8"/>
        <v>44850.421271064813</v>
      </c>
      <c r="C186" s="8">
        <f t="shared" ca="1" si="9"/>
        <v>44850.421271064813</v>
      </c>
      <c r="D186" s="6" t="s">
        <v>205</v>
      </c>
      <c r="E186" s="6"/>
      <c r="F186" s="7">
        <f t="shared" si="10"/>
        <v>91</v>
      </c>
      <c r="G186" s="9">
        <f t="shared" ca="1" si="11"/>
        <v>-45595</v>
      </c>
      <c r="H186" s="9"/>
      <c r="I186" s="50"/>
      <c r="J186" s="50"/>
      <c r="K186" s="50"/>
      <c r="L186" s="50"/>
      <c r="M186" s="50"/>
      <c r="N186" s="50"/>
      <c r="O186" s="50"/>
      <c r="P186" s="50"/>
      <c r="Q186" s="50"/>
      <c r="R186" s="51"/>
    </row>
    <row r="187" spans="1:18" ht="18" customHeight="1" x14ac:dyDescent="0.3">
      <c r="A187" s="18">
        <v>184</v>
      </c>
      <c r="B187" s="7">
        <f t="shared" ca="1" si="8"/>
        <v>44850.421289583333</v>
      </c>
      <c r="C187" s="8">
        <f t="shared" ca="1" si="9"/>
        <v>44850.421289583333</v>
      </c>
      <c r="D187" s="6" t="s">
        <v>206</v>
      </c>
      <c r="E187" s="6"/>
      <c r="F187" s="7">
        <f t="shared" si="10"/>
        <v>91</v>
      </c>
      <c r="G187" s="9">
        <f t="shared" ca="1" si="11"/>
        <v>-45595</v>
      </c>
      <c r="H187" s="9"/>
      <c r="I187" s="50"/>
      <c r="J187" s="50"/>
      <c r="K187" s="50"/>
      <c r="L187" s="50"/>
      <c r="M187" s="50"/>
      <c r="N187" s="50"/>
      <c r="O187" s="50"/>
      <c r="P187" s="50"/>
      <c r="Q187" s="50"/>
      <c r="R187" s="51"/>
    </row>
    <row r="188" spans="1:18" ht="18" customHeight="1" x14ac:dyDescent="0.3">
      <c r="A188" s="18">
        <v>185</v>
      </c>
      <c r="B188" s="7">
        <f t="shared" ca="1" si="8"/>
        <v>44850.421314467596</v>
      </c>
      <c r="C188" s="8">
        <f t="shared" ca="1" si="9"/>
        <v>44850.421314467596</v>
      </c>
      <c r="D188" s="6" t="s">
        <v>207</v>
      </c>
      <c r="E188" s="6"/>
      <c r="F188" s="7">
        <f t="shared" si="10"/>
        <v>91</v>
      </c>
      <c r="G188" s="9">
        <f t="shared" ca="1" si="11"/>
        <v>-45595</v>
      </c>
      <c r="H188" s="9"/>
      <c r="I188" s="50"/>
      <c r="J188" s="50"/>
      <c r="K188" s="50"/>
      <c r="L188" s="50"/>
      <c r="M188" s="50"/>
      <c r="N188" s="50"/>
      <c r="O188" s="50"/>
      <c r="P188" s="50"/>
      <c r="Q188" s="50"/>
      <c r="R188" s="51"/>
    </row>
    <row r="189" spans="1:18" ht="18" customHeight="1" x14ac:dyDescent="0.3">
      <c r="A189" s="18">
        <v>186</v>
      </c>
      <c r="B189" s="7">
        <f t="shared" ca="1" si="8"/>
        <v>44850.421333217593</v>
      </c>
      <c r="C189" s="8">
        <f t="shared" ca="1" si="9"/>
        <v>44850.421333217593</v>
      </c>
      <c r="D189" s="6" t="s">
        <v>208</v>
      </c>
      <c r="E189" s="6"/>
      <c r="F189" s="7">
        <f t="shared" si="10"/>
        <v>91</v>
      </c>
      <c r="G189" s="9">
        <f t="shared" ca="1" si="11"/>
        <v>-45595</v>
      </c>
      <c r="H189" s="9"/>
      <c r="I189" s="50"/>
      <c r="J189" s="50"/>
      <c r="K189" s="50"/>
      <c r="L189" s="50"/>
      <c r="M189" s="50"/>
      <c r="N189" s="50"/>
      <c r="O189" s="50"/>
      <c r="P189" s="50"/>
      <c r="Q189" s="50"/>
      <c r="R189" s="51"/>
    </row>
    <row r="190" spans="1:18" ht="18" customHeight="1" x14ac:dyDescent="0.3">
      <c r="A190" s="18">
        <v>187</v>
      </c>
      <c r="B190" s="7">
        <f t="shared" ca="1" si="8"/>
        <v>44850.421348842596</v>
      </c>
      <c r="C190" s="8">
        <f t="shared" ca="1" si="9"/>
        <v>44850.421348842596</v>
      </c>
      <c r="D190" s="6" t="s">
        <v>209</v>
      </c>
      <c r="E190" s="6"/>
      <c r="F190" s="7">
        <f t="shared" si="10"/>
        <v>91</v>
      </c>
      <c r="G190" s="9">
        <f t="shared" ca="1" si="11"/>
        <v>-45595</v>
      </c>
      <c r="H190" s="9"/>
      <c r="I190" s="50"/>
      <c r="J190" s="50"/>
      <c r="K190" s="50"/>
      <c r="L190" s="50"/>
      <c r="M190" s="50"/>
      <c r="N190" s="50"/>
      <c r="O190" s="50"/>
      <c r="P190" s="50"/>
      <c r="Q190" s="50"/>
      <c r="R190" s="51"/>
    </row>
    <row r="191" spans="1:18" ht="18" customHeight="1" x14ac:dyDescent="0.3">
      <c r="A191" s="18">
        <v>188</v>
      </c>
      <c r="B191" s="7">
        <f t="shared" ca="1" si="8"/>
        <v>44850.421372569443</v>
      </c>
      <c r="C191" s="8">
        <f t="shared" ca="1" si="9"/>
        <v>44850.421372569443</v>
      </c>
      <c r="D191" s="6" t="s">
        <v>210</v>
      </c>
      <c r="E191" s="6"/>
      <c r="F191" s="7">
        <f t="shared" si="10"/>
        <v>91</v>
      </c>
      <c r="G191" s="9">
        <f t="shared" ca="1" si="11"/>
        <v>-45595</v>
      </c>
      <c r="H191" s="9"/>
      <c r="I191" s="50"/>
      <c r="J191" s="50"/>
      <c r="K191" s="50"/>
      <c r="L191" s="50"/>
      <c r="M191" s="50"/>
      <c r="N191" s="50"/>
      <c r="O191" s="50"/>
      <c r="P191" s="50"/>
      <c r="Q191" s="50"/>
      <c r="R191" s="51"/>
    </row>
    <row r="192" spans="1:18" ht="18" customHeight="1" x14ac:dyDescent="0.3">
      <c r="A192" s="18">
        <v>189</v>
      </c>
      <c r="B192" s="7">
        <f t="shared" ca="1" si="8"/>
        <v>44850.421390509262</v>
      </c>
      <c r="C192" s="8">
        <f t="shared" ca="1" si="9"/>
        <v>44850.421390509262</v>
      </c>
      <c r="D192" s="6" t="s">
        <v>211</v>
      </c>
      <c r="E192" s="6"/>
      <c r="F192" s="7">
        <f t="shared" si="10"/>
        <v>91</v>
      </c>
      <c r="G192" s="9">
        <f t="shared" ca="1" si="11"/>
        <v>-45595</v>
      </c>
      <c r="H192" s="9"/>
      <c r="I192" s="50"/>
      <c r="J192" s="50"/>
      <c r="K192" s="50"/>
      <c r="L192" s="50"/>
      <c r="M192" s="50"/>
      <c r="N192" s="50"/>
      <c r="O192" s="50"/>
      <c r="P192" s="50"/>
      <c r="Q192" s="50"/>
      <c r="R192" s="51"/>
    </row>
    <row r="193" spans="1:18" ht="18" customHeight="1" x14ac:dyDescent="0.3">
      <c r="A193" s="18">
        <v>190</v>
      </c>
      <c r="B193" s="7">
        <f t="shared" ca="1" si="8"/>
        <v>44850.421466666667</v>
      </c>
      <c r="C193" s="8">
        <f t="shared" ca="1" si="9"/>
        <v>44850.421466666667</v>
      </c>
      <c r="D193" s="6" t="s">
        <v>212</v>
      </c>
      <c r="E193" s="6"/>
      <c r="F193" s="7">
        <f t="shared" si="10"/>
        <v>91</v>
      </c>
      <c r="G193" s="9">
        <f t="shared" ca="1" si="11"/>
        <v>-45595</v>
      </c>
      <c r="H193" s="9"/>
      <c r="I193" s="50"/>
      <c r="J193" s="50"/>
      <c r="K193" s="50"/>
      <c r="L193" s="50"/>
      <c r="M193" s="50"/>
      <c r="N193" s="50"/>
      <c r="O193" s="50"/>
      <c r="P193" s="50"/>
      <c r="Q193" s="50"/>
      <c r="R193" s="51"/>
    </row>
    <row r="194" spans="1:18" ht="18" customHeight="1" x14ac:dyDescent="0.3">
      <c r="A194" s="18">
        <v>191</v>
      </c>
      <c r="B194" s="7">
        <f t="shared" ca="1" si="8"/>
        <v>44850.421486342595</v>
      </c>
      <c r="C194" s="8">
        <f t="shared" ca="1" si="9"/>
        <v>44850.421486342595</v>
      </c>
      <c r="D194" s="6" t="s">
        <v>213</v>
      </c>
      <c r="E194" s="6"/>
      <c r="F194" s="7">
        <f t="shared" si="10"/>
        <v>91</v>
      </c>
      <c r="G194" s="9">
        <f t="shared" ca="1" si="11"/>
        <v>-45595</v>
      </c>
      <c r="H194" s="9"/>
      <c r="I194" s="50"/>
      <c r="J194" s="50"/>
      <c r="K194" s="50"/>
      <c r="L194" s="50"/>
      <c r="M194" s="50"/>
      <c r="N194" s="50"/>
      <c r="O194" s="50"/>
      <c r="P194" s="50"/>
      <c r="Q194" s="50"/>
      <c r="R194" s="51"/>
    </row>
    <row r="195" spans="1:18" ht="18" customHeight="1" x14ac:dyDescent="0.3">
      <c r="A195" s="18">
        <v>192</v>
      </c>
      <c r="B195" s="7">
        <f t="shared" ca="1" si="8"/>
        <v>44850.421505439816</v>
      </c>
      <c r="C195" s="8">
        <f t="shared" ca="1" si="9"/>
        <v>44850.421505439816</v>
      </c>
      <c r="D195" s="6" t="s">
        <v>214</v>
      </c>
      <c r="E195" s="6"/>
      <c r="F195" s="7">
        <f t="shared" si="10"/>
        <v>91</v>
      </c>
      <c r="G195" s="9">
        <f t="shared" ca="1" si="11"/>
        <v>-45595</v>
      </c>
      <c r="H195" s="9"/>
      <c r="I195" s="50"/>
      <c r="J195" s="50"/>
      <c r="K195" s="50"/>
      <c r="L195" s="50"/>
      <c r="M195" s="50"/>
      <c r="N195" s="50"/>
      <c r="O195" s="50"/>
      <c r="P195" s="50"/>
      <c r="Q195" s="50"/>
      <c r="R195" s="51"/>
    </row>
    <row r="196" spans="1:18" ht="18" customHeight="1" x14ac:dyDescent="0.3">
      <c r="A196" s="18">
        <v>193</v>
      </c>
      <c r="B196" s="7">
        <f t="shared" ref="B196:B259" ca="1" si="12">IF(D196 &lt;&gt;"", IF(B196 ="", NOW(), B196), "")</f>
        <v>44850.421523379628</v>
      </c>
      <c r="C196" s="8">
        <f t="shared" ref="C196:C259" ca="1" si="13">IF(D196 &lt;&gt;"", IF(C196 ="", NOW(), C196), "")</f>
        <v>44850.421523379628</v>
      </c>
      <c r="D196" s="6" t="s">
        <v>215</v>
      </c>
      <c r="E196" s="6"/>
      <c r="F196" s="7">
        <f t="shared" ref="F196:F259" si="14">EDATE(E196,3)-0</f>
        <v>91</v>
      </c>
      <c r="G196" s="9">
        <f t="shared" ref="G196:G259" ca="1" si="15">E196-TODAY()</f>
        <v>-45595</v>
      </c>
      <c r="H196" s="9"/>
      <c r="I196" s="50"/>
      <c r="J196" s="50"/>
      <c r="K196" s="50"/>
      <c r="L196" s="50"/>
      <c r="M196" s="50"/>
      <c r="N196" s="50"/>
      <c r="O196" s="50"/>
      <c r="P196" s="50"/>
      <c r="Q196" s="50"/>
      <c r="R196" s="51"/>
    </row>
    <row r="197" spans="1:18" ht="18" customHeight="1" x14ac:dyDescent="0.3">
      <c r="A197" s="18">
        <v>194</v>
      </c>
      <c r="B197" s="7">
        <f t="shared" ca="1" si="12"/>
        <v>44850.421558912036</v>
      </c>
      <c r="C197" s="8">
        <f t="shared" ca="1" si="13"/>
        <v>44850.421558912036</v>
      </c>
      <c r="D197" s="6" t="s">
        <v>216</v>
      </c>
      <c r="E197" s="6"/>
      <c r="F197" s="7">
        <f t="shared" si="14"/>
        <v>91</v>
      </c>
      <c r="G197" s="9">
        <f t="shared" ca="1" si="15"/>
        <v>-45595</v>
      </c>
      <c r="H197" s="9"/>
      <c r="I197" s="50"/>
      <c r="J197" s="50"/>
      <c r="K197" s="50"/>
      <c r="L197" s="50"/>
      <c r="M197" s="50"/>
      <c r="N197" s="50"/>
      <c r="O197" s="50"/>
      <c r="P197" s="50"/>
      <c r="Q197" s="50"/>
      <c r="R197" s="51"/>
    </row>
    <row r="198" spans="1:18" ht="18" customHeight="1" x14ac:dyDescent="0.3">
      <c r="A198" s="18">
        <v>195</v>
      </c>
      <c r="B198" s="7">
        <f t="shared" ca="1" si="12"/>
        <v>44850.421576504632</v>
      </c>
      <c r="C198" s="8">
        <f t="shared" ca="1" si="13"/>
        <v>44850.421576504632</v>
      </c>
      <c r="D198" s="6" t="s">
        <v>217</v>
      </c>
      <c r="E198" s="6"/>
      <c r="F198" s="7">
        <f t="shared" si="14"/>
        <v>91</v>
      </c>
      <c r="G198" s="9">
        <f t="shared" ca="1" si="15"/>
        <v>-45595</v>
      </c>
      <c r="H198" s="9"/>
      <c r="I198" s="50"/>
      <c r="J198" s="50"/>
      <c r="K198" s="50"/>
      <c r="L198" s="50"/>
      <c r="M198" s="50"/>
      <c r="N198" s="50"/>
      <c r="O198" s="50"/>
      <c r="P198" s="50"/>
      <c r="Q198" s="50"/>
      <c r="R198" s="51"/>
    </row>
    <row r="199" spans="1:18" ht="18" customHeight="1" x14ac:dyDescent="0.3">
      <c r="A199" s="18">
        <v>196</v>
      </c>
      <c r="B199" s="7">
        <f t="shared" ca="1" si="12"/>
        <v>44850.421618749999</v>
      </c>
      <c r="C199" s="8">
        <f t="shared" ca="1" si="13"/>
        <v>44850.421618749999</v>
      </c>
      <c r="D199" s="6" t="s">
        <v>218</v>
      </c>
      <c r="E199" s="6"/>
      <c r="F199" s="7">
        <f t="shared" si="14"/>
        <v>91</v>
      </c>
      <c r="G199" s="9">
        <f t="shared" ca="1" si="15"/>
        <v>-45595</v>
      </c>
      <c r="H199" s="9"/>
      <c r="I199" s="50"/>
      <c r="J199" s="50"/>
      <c r="K199" s="50"/>
      <c r="L199" s="50"/>
      <c r="M199" s="50"/>
      <c r="N199" s="50"/>
      <c r="O199" s="50"/>
      <c r="P199" s="50"/>
      <c r="Q199" s="50"/>
      <c r="R199" s="51"/>
    </row>
    <row r="200" spans="1:18" ht="18" customHeight="1" x14ac:dyDescent="0.3">
      <c r="A200" s="18">
        <v>197</v>
      </c>
      <c r="B200" s="7">
        <f t="shared" ca="1" si="12"/>
        <v>44850.421635416664</v>
      </c>
      <c r="C200" s="8">
        <f t="shared" ca="1" si="13"/>
        <v>44850.421635416664</v>
      </c>
      <c r="D200" s="6" t="s">
        <v>219</v>
      </c>
      <c r="E200" s="6"/>
      <c r="F200" s="7">
        <f t="shared" si="14"/>
        <v>91</v>
      </c>
      <c r="G200" s="9">
        <f t="shared" ca="1" si="15"/>
        <v>-45595</v>
      </c>
      <c r="H200" s="9"/>
      <c r="I200" s="50"/>
      <c r="J200" s="50"/>
      <c r="K200" s="50"/>
      <c r="L200" s="50"/>
      <c r="M200" s="50"/>
      <c r="N200" s="50"/>
      <c r="O200" s="50"/>
      <c r="P200" s="50"/>
      <c r="Q200" s="50"/>
      <c r="R200" s="51"/>
    </row>
    <row r="201" spans="1:18" ht="18" customHeight="1" x14ac:dyDescent="0.3">
      <c r="A201" s="18">
        <v>198</v>
      </c>
      <c r="B201" s="7">
        <f t="shared" ca="1" si="12"/>
        <v>44850.421654282407</v>
      </c>
      <c r="C201" s="8">
        <f t="shared" ca="1" si="13"/>
        <v>44850.421654282407</v>
      </c>
      <c r="D201" s="6" t="s">
        <v>220</v>
      </c>
      <c r="E201" s="6"/>
      <c r="F201" s="7">
        <f t="shared" si="14"/>
        <v>91</v>
      </c>
      <c r="G201" s="9">
        <f t="shared" ca="1" si="15"/>
        <v>-45595</v>
      </c>
      <c r="H201" s="9"/>
      <c r="I201" s="50"/>
      <c r="J201" s="50"/>
      <c r="K201" s="50"/>
      <c r="L201" s="50"/>
      <c r="M201" s="50"/>
      <c r="N201" s="50"/>
      <c r="O201" s="50"/>
      <c r="P201" s="50"/>
      <c r="Q201" s="50"/>
      <c r="R201" s="51"/>
    </row>
    <row r="202" spans="1:18" ht="18" customHeight="1" x14ac:dyDescent="0.3">
      <c r="A202" s="18">
        <v>199</v>
      </c>
      <c r="B202" s="7">
        <f t="shared" ca="1" si="12"/>
        <v>44850.421679398147</v>
      </c>
      <c r="C202" s="8">
        <f t="shared" ca="1" si="13"/>
        <v>44850.421679398147</v>
      </c>
      <c r="D202" s="6" t="s">
        <v>221</v>
      </c>
      <c r="E202" s="6"/>
      <c r="F202" s="7">
        <f t="shared" si="14"/>
        <v>91</v>
      </c>
      <c r="G202" s="9">
        <f t="shared" ca="1" si="15"/>
        <v>-45595</v>
      </c>
      <c r="H202" s="9"/>
      <c r="I202" s="50"/>
      <c r="J202" s="50"/>
      <c r="K202" s="50"/>
      <c r="L202" s="50"/>
      <c r="M202" s="50"/>
      <c r="N202" s="50"/>
      <c r="O202" s="50"/>
      <c r="P202" s="50"/>
      <c r="Q202" s="50"/>
      <c r="R202" s="51"/>
    </row>
    <row r="203" spans="1:18" ht="18" customHeight="1" x14ac:dyDescent="0.3">
      <c r="A203" s="18">
        <v>200</v>
      </c>
      <c r="B203" s="7">
        <f t="shared" ca="1" si="12"/>
        <v>44850.421696759258</v>
      </c>
      <c r="C203" s="8">
        <f t="shared" ca="1" si="13"/>
        <v>44850.421696759258</v>
      </c>
      <c r="D203" s="6" t="s">
        <v>222</v>
      </c>
      <c r="E203" s="6"/>
      <c r="F203" s="7">
        <f t="shared" si="14"/>
        <v>91</v>
      </c>
      <c r="G203" s="9">
        <f t="shared" ca="1" si="15"/>
        <v>-45595</v>
      </c>
      <c r="H203" s="9"/>
      <c r="I203" s="50"/>
      <c r="J203" s="50"/>
      <c r="K203" s="50"/>
      <c r="L203" s="50"/>
      <c r="M203" s="50"/>
      <c r="N203" s="50"/>
      <c r="O203" s="50"/>
      <c r="P203" s="50"/>
      <c r="Q203" s="50"/>
      <c r="R203" s="51"/>
    </row>
    <row r="204" spans="1:18" ht="18" customHeight="1" x14ac:dyDescent="0.3">
      <c r="A204" s="18">
        <v>201</v>
      </c>
      <c r="B204" s="7">
        <f t="shared" ca="1" si="12"/>
        <v>44850.421713773147</v>
      </c>
      <c r="C204" s="8">
        <f t="shared" ca="1" si="13"/>
        <v>44850.421713773147</v>
      </c>
      <c r="D204" s="6" t="s">
        <v>223</v>
      </c>
      <c r="E204" s="6"/>
      <c r="F204" s="7">
        <f t="shared" si="14"/>
        <v>91</v>
      </c>
      <c r="G204" s="9">
        <f t="shared" ca="1" si="15"/>
        <v>-45595</v>
      </c>
      <c r="H204" s="9"/>
      <c r="I204" s="50"/>
      <c r="J204" s="50"/>
      <c r="K204" s="50"/>
      <c r="L204" s="50"/>
      <c r="M204" s="50"/>
      <c r="N204" s="50"/>
      <c r="O204" s="50"/>
      <c r="P204" s="50"/>
      <c r="Q204" s="50"/>
      <c r="R204" s="51"/>
    </row>
    <row r="205" spans="1:18" ht="18" customHeight="1" x14ac:dyDescent="0.3">
      <c r="A205" s="18">
        <v>202</v>
      </c>
      <c r="B205" s="7">
        <f t="shared" ca="1" si="12"/>
        <v>44850.421730902781</v>
      </c>
      <c r="C205" s="8">
        <f t="shared" ca="1" si="13"/>
        <v>44850.421730902781</v>
      </c>
      <c r="D205" s="6" t="s">
        <v>224</v>
      </c>
      <c r="E205" s="6"/>
      <c r="F205" s="7">
        <f t="shared" si="14"/>
        <v>91</v>
      </c>
      <c r="G205" s="9">
        <f t="shared" ca="1" si="15"/>
        <v>-45595</v>
      </c>
      <c r="H205" s="9"/>
      <c r="I205" s="50"/>
      <c r="J205" s="50"/>
      <c r="K205" s="50"/>
      <c r="L205" s="50"/>
      <c r="M205" s="50"/>
      <c r="N205" s="50"/>
      <c r="O205" s="50"/>
      <c r="P205" s="50"/>
      <c r="Q205" s="50"/>
      <c r="R205" s="51"/>
    </row>
    <row r="206" spans="1:18" ht="18" customHeight="1" x14ac:dyDescent="0.3">
      <c r="A206" s="18">
        <v>203</v>
      </c>
      <c r="B206" s="7">
        <f t="shared" ca="1" si="12"/>
        <v>44850.421747800923</v>
      </c>
      <c r="C206" s="8">
        <f t="shared" ca="1" si="13"/>
        <v>44850.421747800923</v>
      </c>
      <c r="D206" s="6" t="s">
        <v>225</v>
      </c>
      <c r="E206" s="6"/>
      <c r="F206" s="7">
        <f t="shared" si="14"/>
        <v>91</v>
      </c>
      <c r="G206" s="9">
        <f t="shared" ca="1" si="15"/>
        <v>-45595</v>
      </c>
      <c r="H206" s="9"/>
      <c r="I206" s="50"/>
      <c r="J206" s="50"/>
      <c r="K206" s="50"/>
      <c r="L206" s="50"/>
      <c r="M206" s="50"/>
      <c r="N206" s="50"/>
      <c r="O206" s="50"/>
      <c r="P206" s="50"/>
      <c r="Q206" s="50"/>
      <c r="R206" s="51"/>
    </row>
    <row r="207" spans="1:18" ht="18" customHeight="1" x14ac:dyDescent="0.3">
      <c r="A207" s="18">
        <v>204</v>
      </c>
      <c r="B207" s="7">
        <f t="shared" ca="1" si="12"/>
        <v>44850.421789699074</v>
      </c>
      <c r="C207" s="8">
        <f t="shared" ca="1" si="13"/>
        <v>44850.421789699074</v>
      </c>
      <c r="D207" s="6" t="s">
        <v>226</v>
      </c>
      <c r="E207" s="6"/>
      <c r="F207" s="7">
        <f t="shared" si="14"/>
        <v>91</v>
      </c>
      <c r="G207" s="9">
        <f t="shared" ca="1" si="15"/>
        <v>-45595</v>
      </c>
      <c r="H207" s="9"/>
      <c r="I207" s="50"/>
      <c r="J207" s="50"/>
      <c r="K207" s="50"/>
      <c r="L207" s="50"/>
      <c r="M207" s="50"/>
      <c r="N207" s="50"/>
      <c r="O207" s="50"/>
      <c r="P207" s="50"/>
      <c r="Q207" s="50"/>
      <c r="R207" s="51"/>
    </row>
    <row r="208" spans="1:18" ht="18" customHeight="1" x14ac:dyDescent="0.3">
      <c r="A208" s="18">
        <v>205</v>
      </c>
      <c r="B208" s="7">
        <f t="shared" ca="1" si="12"/>
        <v>44850.421807986109</v>
      </c>
      <c r="C208" s="8">
        <f t="shared" ca="1" si="13"/>
        <v>44850.421807986109</v>
      </c>
      <c r="D208" s="6" t="s">
        <v>227</v>
      </c>
      <c r="E208" s="6"/>
      <c r="F208" s="7">
        <f t="shared" si="14"/>
        <v>91</v>
      </c>
      <c r="G208" s="9">
        <f t="shared" ca="1" si="15"/>
        <v>-45595</v>
      </c>
      <c r="H208" s="9"/>
      <c r="I208" s="50"/>
      <c r="J208" s="50"/>
      <c r="K208" s="50"/>
      <c r="L208" s="50"/>
      <c r="M208" s="50"/>
      <c r="N208" s="50"/>
      <c r="O208" s="50"/>
      <c r="P208" s="50"/>
      <c r="Q208" s="50"/>
      <c r="R208" s="51"/>
    </row>
    <row r="209" spans="1:18" ht="18" customHeight="1" x14ac:dyDescent="0.3">
      <c r="A209" s="18">
        <v>206</v>
      </c>
      <c r="B209" s="7">
        <f t="shared" ca="1" si="12"/>
        <v>44850.4218287037</v>
      </c>
      <c r="C209" s="8">
        <f t="shared" ca="1" si="13"/>
        <v>44850.4218287037</v>
      </c>
      <c r="D209" s="6" t="s">
        <v>228</v>
      </c>
      <c r="E209" s="6"/>
      <c r="F209" s="7">
        <f t="shared" si="14"/>
        <v>91</v>
      </c>
      <c r="G209" s="9">
        <f t="shared" ca="1" si="15"/>
        <v>-45595</v>
      </c>
      <c r="H209" s="9"/>
      <c r="I209" s="50"/>
      <c r="J209" s="50"/>
      <c r="K209" s="50"/>
      <c r="L209" s="50"/>
      <c r="M209" s="50"/>
      <c r="N209" s="50"/>
      <c r="O209" s="50"/>
      <c r="P209" s="50"/>
      <c r="Q209" s="50"/>
      <c r="R209" s="51"/>
    </row>
    <row r="210" spans="1:18" ht="18" customHeight="1" x14ac:dyDescent="0.3">
      <c r="A210" s="18">
        <v>207</v>
      </c>
      <c r="B210" s="7">
        <f t="shared" ca="1" si="12"/>
        <v>44850.421846990743</v>
      </c>
      <c r="C210" s="8">
        <f t="shared" ca="1" si="13"/>
        <v>44850.421846990743</v>
      </c>
      <c r="D210" s="6" t="s">
        <v>229</v>
      </c>
      <c r="E210" s="6"/>
      <c r="F210" s="7">
        <f t="shared" si="14"/>
        <v>91</v>
      </c>
      <c r="G210" s="9">
        <f t="shared" ca="1" si="15"/>
        <v>-45595</v>
      </c>
      <c r="H210" s="9"/>
      <c r="I210" s="50"/>
      <c r="J210" s="50"/>
      <c r="K210" s="50"/>
      <c r="L210" s="50"/>
      <c r="M210" s="50"/>
      <c r="N210" s="50"/>
      <c r="O210" s="50"/>
      <c r="P210" s="50"/>
      <c r="Q210" s="50"/>
      <c r="R210" s="51"/>
    </row>
    <row r="211" spans="1:18" ht="18" customHeight="1" x14ac:dyDescent="0.3">
      <c r="A211" s="18">
        <v>208</v>
      </c>
      <c r="B211" s="7">
        <f t="shared" ca="1" si="12"/>
        <v>44850.421865162039</v>
      </c>
      <c r="C211" s="8">
        <f t="shared" ca="1" si="13"/>
        <v>44850.421865162039</v>
      </c>
      <c r="D211" s="6" t="s">
        <v>230</v>
      </c>
      <c r="E211" s="6"/>
      <c r="F211" s="7">
        <f t="shared" si="14"/>
        <v>91</v>
      </c>
      <c r="G211" s="9">
        <f t="shared" ca="1" si="15"/>
        <v>-45595</v>
      </c>
      <c r="H211" s="9"/>
      <c r="I211" s="50"/>
      <c r="J211" s="50"/>
      <c r="K211" s="50"/>
      <c r="L211" s="50"/>
      <c r="M211" s="50"/>
      <c r="N211" s="50"/>
      <c r="O211" s="50"/>
      <c r="P211" s="50"/>
      <c r="Q211" s="50"/>
      <c r="R211" s="51"/>
    </row>
    <row r="212" spans="1:18" ht="18" customHeight="1" x14ac:dyDescent="0.3">
      <c r="A212" s="18">
        <v>209</v>
      </c>
      <c r="B212" s="7">
        <f t="shared" ca="1" si="12"/>
        <v>44850.421886226854</v>
      </c>
      <c r="C212" s="8">
        <f t="shared" ca="1" si="13"/>
        <v>44850.421886226854</v>
      </c>
      <c r="D212" s="6" t="s">
        <v>231</v>
      </c>
      <c r="E212" s="6"/>
      <c r="F212" s="7">
        <f t="shared" si="14"/>
        <v>91</v>
      </c>
      <c r="G212" s="9">
        <f t="shared" ca="1" si="15"/>
        <v>-45595</v>
      </c>
      <c r="H212" s="9"/>
      <c r="I212" s="50"/>
      <c r="J212" s="50"/>
      <c r="K212" s="50"/>
      <c r="L212" s="50"/>
      <c r="M212" s="50"/>
      <c r="N212" s="50"/>
      <c r="O212" s="50"/>
      <c r="P212" s="50"/>
      <c r="Q212" s="50"/>
      <c r="R212" s="51"/>
    </row>
    <row r="213" spans="1:18" ht="18" customHeight="1" x14ac:dyDescent="0.3">
      <c r="A213" s="18">
        <v>210</v>
      </c>
      <c r="B213" s="7">
        <f t="shared" ca="1" si="12"/>
        <v>44850.421906828706</v>
      </c>
      <c r="C213" s="8">
        <f t="shared" ca="1" si="13"/>
        <v>44850.421906828706</v>
      </c>
      <c r="D213" s="6" t="s">
        <v>232</v>
      </c>
      <c r="E213" s="6"/>
      <c r="F213" s="7">
        <f t="shared" si="14"/>
        <v>91</v>
      </c>
      <c r="G213" s="9">
        <f t="shared" ca="1" si="15"/>
        <v>-45595</v>
      </c>
      <c r="H213" s="9"/>
      <c r="I213" s="50"/>
      <c r="J213" s="50"/>
      <c r="K213" s="50"/>
      <c r="L213" s="50"/>
      <c r="M213" s="50"/>
      <c r="N213" s="50"/>
      <c r="O213" s="50"/>
      <c r="P213" s="50"/>
      <c r="Q213" s="50"/>
      <c r="R213" s="51"/>
    </row>
    <row r="214" spans="1:18" ht="18" customHeight="1" x14ac:dyDescent="0.3">
      <c r="A214" s="18">
        <v>211</v>
      </c>
      <c r="B214" s="7">
        <f t="shared" ca="1" si="12"/>
        <v>44850.421925000002</v>
      </c>
      <c r="C214" s="8">
        <f t="shared" ca="1" si="13"/>
        <v>44850.421925000002</v>
      </c>
      <c r="D214" s="6" t="s">
        <v>22</v>
      </c>
      <c r="E214" s="6"/>
      <c r="F214" s="7">
        <f t="shared" si="14"/>
        <v>91</v>
      </c>
      <c r="G214" s="9">
        <f t="shared" ca="1" si="15"/>
        <v>-45595</v>
      </c>
      <c r="H214" s="9"/>
      <c r="I214" s="50"/>
      <c r="J214" s="50"/>
      <c r="K214" s="50"/>
      <c r="L214" s="50"/>
      <c r="M214" s="50"/>
      <c r="N214" s="50"/>
      <c r="O214" s="50"/>
      <c r="P214" s="50"/>
      <c r="Q214" s="50"/>
      <c r="R214" s="51"/>
    </row>
    <row r="215" spans="1:18" ht="18" customHeight="1" x14ac:dyDescent="0.3">
      <c r="A215" s="18">
        <v>212</v>
      </c>
      <c r="B215" s="7">
        <f t="shared" ca="1" si="12"/>
        <v>44850.421943402776</v>
      </c>
      <c r="C215" s="8">
        <f t="shared" ca="1" si="13"/>
        <v>44850.421943402776</v>
      </c>
      <c r="D215" s="6" t="s">
        <v>233</v>
      </c>
      <c r="E215" s="6"/>
      <c r="F215" s="7">
        <f t="shared" si="14"/>
        <v>91</v>
      </c>
      <c r="G215" s="9">
        <f t="shared" ca="1" si="15"/>
        <v>-45595</v>
      </c>
      <c r="H215" s="9"/>
      <c r="I215" s="50"/>
      <c r="J215" s="50"/>
      <c r="K215" s="50"/>
      <c r="L215" s="50"/>
      <c r="M215" s="50"/>
      <c r="N215" s="50"/>
      <c r="O215" s="50"/>
      <c r="P215" s="50"/>
      <c r="Q215" s="50"/>
      <c r="R215" s="51"/>
    </row>
    <row r="216" spans="1:18" ht="18" customHeight="1" x14ac:dyDescent="0.3">
      <c r="A216" s="18">
        <v>213</v>
      </c>
      <c r="B216" s="7">
        <f t="shared" ca="1" si="12"/>
        <v>44850.421960995373</v>
      </c>
      <c r="C216" s="8">
        <f t="shared" ca="1" si="13"/>
        <v>44850.421960995373</v>
      </c>
      <c r="D216" s="6" t="s">
        <v>234</v>
      </c>
      <c r="E216" s="6"/>
      <c r="F216" s="7">
        <f t="shared" si="14"/>
        <v>91</v>
      </c>
      <c r="G216" s="9">
        <f t="shared" ca="1" si="15"/>
        <v>-45595</v>
      </c>
      <c r="H216" s="9"/>
      <c r="I216" s="50"/>
      <c r="J216" s="50"/>
      <c r="K216" s="50"/>
      <c r="L216" s="50"/>
      <c r="M216" s="50"/>
      <c r="N216" s="50"/>
      <c r="O216" s="50"/>
      <c r="P216" s="50"/>
      <c r="Q216" s="50"/>
      <c r="R216" s="51"/>
    </row>
    <row r="217" spans="1:18" ht="18" customHeight="1" x14ac:dyDescent="0.3">
      <c r="A217" s="18">
        <v>214</v>
      </c>
      <c r="B217" s="7">
        <f t="shared" ca="1" si="12"/>
        <v>44850.421978356484</v>
      </c>
      <c r="C217" s="8">
        <f t="shared" ca="1" si="13"/>
        <v>44850.421978356484</v>
      </c>
      <c r="D217" s="6" t="s">
        <v>21</v>
      </c>
      <c r="E217" s="6"/>
      <c r="F217" s="7">
        <f t="shared" si="14"/>
        <v>91</v>
      </c>
      <c r="G217" s="9">
        <f t="shared" ca="1" si="15"/>
        <v>-45595</v>
      </c>
      <c r="H217" s="9"/>
      <c r="I217" s="50"/>
      <c r="J217" s="50"/>
      <c r="K217" s="50"/>
      <c r="L217" s="50"/>
      <c r="M217" s="50"/>
      <c r="N217" s="50"/>
      <c r="O217" s="50"/>
      <c r="P217" s="50"/>
      <c r="Q217" s="50"/>
      <c r="R217" s="51"/>
    </row>
    <row r="218" spans="1:18" ht="18" customHeight="1" x14ac:dyDescent="0.3">
      <c r="A218" s="18">
        <v>215</v>
      </c>
      <c r="B218" s="7">
        <f t="shared" ca="1" si="12"/>
        <v>44850.421995717596</v>
      </c>
      <c r="C218" s="8">
        <f t="shared" ca="1" si="13"/>
        <v>44850.421995717596</v>
      </c>
      <c r="D218" s="6" t="s">
        <v>235</v>
      </c>
      <c r="E218" s="6"/>
      <c r="F218" s="7">
        <f t="shared" si="14"/>
        <v>91</v>
      </c>
      <c r="G218" s="9">
        <f t="shared" ca="1" si="15"/>
        <v>-45595</v>
      </c>
      <c r="H218" s="9"/>
      <c r="I218" s="50"/>
      <c r="J218" s="50"/>
      <c r="K218" s="50"/>
      <c r="L218" s="50"/>
      <c r="M218" s="50"/>
      <c r="N218" s="50"/>
      <c r="O218" s="50"/>
      <c r="P218" s="50"/>
      <c r="Q218" s="50"/>
      <c r="R218" s="51"/>
    </row>
    <row r="219" spans="1:18" ht="18" customHeight="1" x14ac:dyDescent="0.3">
      <c r="A219" s="18">
        <v>216</v>
      </c>
      <c r="B219" s="7">
        <f t="shared" ca="1" si="12"/>
        <v>44850.422014467593</v>
      </c>
      <c r="C219" s="8">
        <f t="shared" ca="1" si="13"/>
        <v>44850.422014467593</v>
      </c>
      <c r="D219" s="6" t="s">
        <v>236</v>
      </c>
      <c r="E219" s="6"/>
      <c r="F219" s="7">
        <f t="shared" si="14"/>
        <v>91</v>
      </c>
      <c r="G219" s="9">
        <f t="shared" ca="1" si="15"/>
        <v>-45595</v>
      </c>
      <c r="H219" s="9"/>
      <c r="I219" s="50"/>
      <c r="J219" s="50"/>
      <c r="K219" s="50"/>
      <c r="L219" s="50"/>
      <c r="M219" s="50"/>
      <c r="N219" s="50"/>
      <c r="O219" s="50"/>
      <c r="P219" s="50"/>
      <c r="Q219" s="50"/>
      <c r="R219" s="51"/>
    </row>
    <row r="220" spans="1:18" ht="18" customHeight="1" x14ac:dyDescent="0.3">
      <c r="A220" s="18">
        <v>217</v>
      </c>
      <c r="B220" s="7">
        <f t="shared" ca="1" si="12"/>
        <v>44850.422030671296</v>
      </c>
      <c r="C220" s="8">
        <f t="shared" ca="1" si="13"/>
        <v>44850.422030671296</v>
      </c>
      <c r="D220" s="6" t="s">
        <v>237</v>
      </c>
      <c r="E220" s="6"/>
      <c r="F220" s="7">
        <f t="shared" si="14"/>
        <v>91</v>
      </c>
      <c r="G220" s="9">
        <f t="shared" ca="1" si="15"/>
        <v>-45595</v>
      </c>
      <c r="H220" s="9"/>
      <c r="I220" s="50"/>
      <c r="J220" s="50"/>
      <c r="K220" s="50"/>
      <c r="L220" s="50"/>
      <c r="M220" s="50"/>
      <c r="N220" s="50"/>
      <c r="O220" s="50"/>
      <c r="P220" s="50"/>
      <c r="Q220" s="50"/>
      <c r="R220" s="51"/>
    </row>
    <row r="221" spans="1:18" ht="18" customHeight="1" x14ac:dyDescent="0.3">
      <c r="A221" s="18">
        <v>218</v>
      </c>
      <c r="B221" s="7">
        <f t="shared" ca="1" si="12"/>
        <v>44850.422050000001</v>
      </c>
      <c r="C221" s="8">
        <f t="shared" ca="1" si="13"/>
        <v>44850.422050000001</v>
      </c>
      <c r="D221" s="6" t="s">
        <v>238</v>
      </c>
      <c r="E221" s="6"/>
      <c r="F221" s="7">
        <f t="shared" si="14"/>
        <v>91</v>
      </c>
      <c r="G221" s="9">
        <f t="shared" ca="1" si="15"/>
        <v>-45595</v>
      </c>
      <c r="H221" s="9"/>
      <c r="I221" s="50"/>
      <c r="J221" s="50"/>
      <c r="K221" s="50"/>
      <c r="L221" s="50"/>
      <c r="M221" s="50"/>
      <c r="N221" s="50"/>
      <c r="O221" s="50"/>
      <c r="P221" s="50"/>
      <c r="Q221" s="50"/>
      <c r="R221" s="51"/>
    </row>
    <row r="222" spans="1:18" ht="18" customHeight="1" x14ac:dyDescent="0.3">
      <c r="A222" s="18">
        <v>219</v>
      </c>
      <c r="B222" s="7">
        <f t="shared" ca="1" si="12"/>
        <v>44850.422068865744</v>
      </c>
      <c r="C222" s="8">
        <f t="shared" ca="1" si="13"/>
        <v>44850.422068865744</v>
      </c>
      <c r="D222" s="6" t="s">
        <v>20</v>
      </c>
      <c r="E222" s="6"/>
      <c r="F222" s="7">
        <f t="shared" si="14"/>
        <v>91</v>
      </c>
      <c r="G222" s="9">
        <f t="shared" ca="1" si="15"/>
        <v>-45595</v>
      </c>
      <c r="H222" s="9"/>
      <c r="I222" s="50"/>
      <c r="J222" s="50"/>
      <c r="K222" s="50"/>
      <c r="L222" s="50"/>
      <c r="M222" s="50"/>
      <c r="N222" s="50"/>
      <c r="O222" s="50"/>
      <c r="P222" s="50"/>
      <c r="Q222" s="50"/>
      <c r="R222" s="51"/>
    </row>
    <row r="223" spans="1:18" ht="18" customHeight="1" x14ac:dyDescent="0.3">
      <c r="A223" s="18">
        <v>220</v>
      </c>
      <c r="B223" s="7">
        <f t="shared" ca="1" si="12"/>
        <v>44850.422100347219</v>
      </c>
      <c r="C223" s="8">
        <f t="shared" ca="1" si="13"/>
        <v>44850.422100347219</v>
      </c>
      <c r="D223" s="6" t="s">
        <v>239</v>
      </c>
      <c r="E223" s="6"/>
      <c r="F223" s="7">
        <f t="shared" si="14"/>
        <v>91</v>
      </c>
      <c r="G223" s="9">
        <f t="shared" ca="1" si="15"/>
        <v>-45595</v>
      </c>
      <c r="H223" s="9"/>
      <c r="I223" s="50"/>
      <c r="J223" s="50"/>
      <c r="K223" s="50"/>
      <c r="L223" s="50"/>
      <c r="M223" s="50"/>
      <c r="N223" s="50"/>
      <c r="O223" s="50"/>
      <c r="P223" s="50"/>
      <c r="Q223" s="50"/>
      <c r="R223" s="51"/>
    </row>
    <row r="224" spans="1:18" ht="18" customHeight="1" x14ac:dyDescent="0.3">
      <c r="A224" s="18">
        <v>221</v>
      </c>
      <c r="B224" s="7">
        <f t="shared" ca="1" si="12"/>
        <v>44850.422123958335</v>
      </c>
      <c r="C224" s="8">
        <f t="shared" ca="1" si="13"/>
        <v>44850.422123958335</v>
      </c>
      <c r="D224" s="6" t="s">
        <v>240</v>
      </c>
      <c r="E224" s="6"/>
      <c r="F224" s="7">
        <f t="shared" si="14"/>
        <v>91</v>
      </c>
      <c r="G224" s="9">
        <f t="shared" ca="1" si="15"/>
        <v>-45595</v>
      </c>
      <c r="H224" s="9"/>
      <c r="I224" s="50"/>
      <c r="J224" s="50"/>
      <c r="K224" s="50"/>
      <c r="L224" s="50"/>
      <c r="M224" s="50"/>
      <c r="N224" s="50"/>
      <c r="O224" s="50"/>
      <c r="P224" s="50"/>
      <c r="Q224" s="50"/>
      <c r="R224" s="51"/>
    </row>
    <row r="225" spans="1:18" ht="18" customHeight="1" x14ac:dyDescent="0.3">
      <c r="A225" s="18">
        <v>222</v>
      </c>
      <c r="B225" s="7">
        <f t="shared" ca="1" si="12"/>
        <v>44850.422165277778</v>
      </c>
      <c r="C225" s="8">
        <f t="shared" ca="1" si="13"/>
        <v>44850.422165277778</v>
      </c>
      <c r="D225" s="6" t="s">
        <v>241</v>
      </c>
      <c r="E225" s="6"/>
      <c r="F225" s="7">
        <f t="shared" si="14"/>
        <v>91</v>
      </c>
      <c r="G225" s="9">
        <f t="shared" ca="1" si="15"/>
        <v>-45595</v>
      </c>
      <c r="H225" s="9"/>
      <c r="I225" s="50"/>
      <c r="J225" s="50"/>
      <c r="K225" s="50"/>
      <c r="L225" s="50"/>
      <c r="M225" s="50"/>
      <c r="N225" s="50"/>
      <c r="O225" s="50"/>
      <c r="P225" s="50"/>
      <c r="Q225" s="50"/>
      <c r="R225" s="51"/>
    </row>
    <row r="226" spans="1:18" ht="18" customHeight="1" x14ac:dyDescent="0.3">
      <c r="A226" s="18">
        <v>223</v>
      </c>
      <c r="B226" s="7">
        <f t="shared" ca="1" si="12"/>
        <v>44850.422184143521</v>
      </c>
      <c r="C226" s="8">
        <f t="shared" ca="1" si="13"/>
        <v>44850.422184143521</v>
      </c>
      <c r="D226" s="6" t="s">
        <v>242</v>
      </c>
      <c r="E226" s="6"/>
      <c r="F226" s="7">
        <f t="shared" si="14"/>
        <v>91</v>
      </c>
      <c r="G226" s="9">
        <f t="shared" ca="1" si="15"/>
        <v>-45595</v>
      </c>
      <c r="H226" s="9"/>
      <c r="I226" s="50"/>
      <c r="J226" s="50"/>
      <c r="K226" s="50"/>
      <c r="L226" s="50"/>
      <c r="M226" s="50"/>
      <c r="N226" s="50"/>
      <c r="O226" s="50"/>
      <c r="P226" s="50"/>
      <c r="Q226" s="50"/>
      <c r="R226" s="51"/>
    </row>
    <row r="227" spans="1:18" ht="18" customHeight="1" x14ac:dyDescent="0.3">
      <c r="A227" s="18">
        <v>224</v>
      </c>
      <c r="B227" s="7">
        <f t="shared" ca="1" si="12"/>
        <v>44850.422203240742</v>
      </c>
      <c r="C227" s="8">
        <f t="shared" ca="1" si="13"/>
        <v>44850.422203240742</v>
      </c>
      <c r="D227" s="6" t="s">
        <v>243</v>
      </c>
      <c r="E227" s="6"/>
      <c r="F227" s="7">
        <f t="shared" si="14"/>
        <v>91</v>
      </c>
      <c r="G227" s="9">
        <f t="shared" ca="1" si="15"/>
        <v>-45595</v>
      </c>
      <c r="H227" s="9"/>
      <c r="I227" s="50"/>
      <c r="J227" s="50"/>
      <c r="K227" s="50"/>
      <c r="L227" s="50"/>
      <c r="M227" s="50"/>
      <c r="N227" s="50"/>
      <c r="O227" s="50"/>
      <c r="P227" s="50"/>
      <c r="Q227" s="50"/>
      <c r="R227" s="51"/>
    </row>
    <row r="228" spans="1:18" ht="18" customHeight="1" x14ac:dyDescent="0.3">
      <c r="A228" s="18">
        <v>225</v>
      </c>
      <c r="B228" s="7">
        <f t="shared" ca="1" si="12"/>
        <v>44850.422225810187</v>
      </c>
      <c r="C228" s="8">
        <f t="shared" ca="1" si="13"/>
        <v>44850.422225810187</v>
      </c>
      <c r="D228" s="6" t="s">
        <v>244</v>
      </c>
      <c r="E228" s="6"/>
      <c r="F228" s="7">
        <f t="shared" si="14"/>
        <v>91</v>
      </c>
      <c r="G228" s="9">
        <f t="shared" ca="1" si="15"/>
        <v>-45595</v>
      </c>
      <c r="H228" s="9"/>
      <c r="I228" s="50"/>
      <c r="J228" s="50"/>
      <c r="K228" s="50"/>
      <c r="L228" s="50"/>
      <c r="M228" s="50"/>
      <c r="N228" s="50"/>
      <c r="O228" s="50"/>
      <c r="P228" s="50"/>
      <c r="Q228" s="50"/>
      <c r="R228" s="51"/>
    </row>
    <row r="229" spans="1:18" ht="18" customHeight="1" x14ac:dyDescent="0.3">
      <c r="A229" s="18">
        <v>226</v>
      </c>
      <c r="B229" s="7">
        <f t="shared" ca="1" si="12"/>
        <v>44850.422244444446</v>
      </c>
      <c r="C229" s="8">
        <f t="shared" ca="1" si="13"/>
        <v>44850.422244444446</v>
      </c>
      <c r="D229" s="6" t="s">
        <v>245</v>
      </c>
      <c r="E229" s="6"/>
      <c r="F229" s="7">
        <f t="shared" si="14"/>
        <v>91</v>
      </c>
      <c r="G229" s="9">
        <f t="shared" ca="1" si="15"/>
        <v>-45595</v>
      </c>
      <c r="H229" s="9"/>
      <c r="I229" s="50"/>
      <c r="J229" s="50"/>
      <c r="K229" s="50"/>
      <c r="L229" s="50"/>
      <c r="M229" s="50"/>
      <c r="N229" s="50"/>
      <c r="O229" s="50"/>
      <c r="P229" s="50"/>
      <c r="Q229" s="50"/>
      <c r="R229" s="51"/>
    </row>
    <row r="230" spans="1:18" ht="18" customHeight="1" x14ac:dyDescent="0.3">
      <c r="A230" s="18">
        <v>227</v>
      </c>
      <c r="B230" s="7">
        <f t="shared" ca="1" si="12"/>
        <v>44850.422278819446</v>
      </c>
      <c r="C230" s="8">
        <f t="shared" ca="1" si="13"/>
        <v>44850.422278819446</v>
      </c>
      <c r="D230" s="6" t="s">
        <v>246</v>
      </c>
      <c r="E230" s="6"/>
      <c r="F230" s="7">
        <f t="shared" si="14"/>
        <v>91</v>
      </c>
      <c r="G230" s="9">
        <f t="shared" ca="1" si="15"/>
        <v>-45595</v>
      </c>
      <c r="H230" s="9"/>
      <c r="I230" s="50"/>
      <c r="J230" s="50"/>
      <c r="K230" s="50"/>
      <c r="L230" s="50"/>
      <c r="M230" s="50"/>
      <c r="N230" s="50"/>
      <c r="O230" s="50"/>
      <c r="P230" s="50"/>
      <c r="Q230" s="50"/>
      <c r="R230" s="51"/>
    </row>
    <row r="231" spans="1:18" ht="18" customHeight="1" x14ac:dyDescent="0.3">
      <c r="A231" s="18">
        <v>228</v>
      </c>
      <c r="B231" s="7">
        <f t="shared" ca="1" si="12"/>
        <v>44850.422299074075</v>
      </c>
      <c r="C231" s="8">
        <f t="shared" ca="1" si="13"/>
        <v>44850.422299074075</v>
      </c>
      <c r="D231" s="6" t="s">
        <v>247</v>
      </c>
      <c r="E231" s="6"/>
      <c r="F231" s="7">
        <f t="shared" si="14"/>
        <v>91</v>
      </c>
      <c r="G231" s="9">
        <f t="shared" ca="1" si="15"/>
        <v>-45595</v>
      </c>
      <c r="H231" s="9"/>
      <c r="I231" s="50"/>
      <c r="J231" s="50"/>
      <c r="K231" s="50"/>
      <c r="L231" s="50"/>
      <c r="M231" s="50"/>
      <c r="N231" s="50"/>
      <c r="O231" s="50"/>
      <c r="P231" s="50"/>
      <c r="Q231" s="50"/>
      <c r="R231" s="51"/>
    </row>
    <row r="232" spans="1:18" ht="18" customHeight="1" x14ac:dyDescent="0.3">
      <c r="A232" s="18">
        <v>229</v>
      </c>
      <c r="B232" s="7">
        <f t="shared" ca="1" si="12"/>
        <v>44850.422318518518</v>
      </c>
      <c r="C232" s="8">
        <f t="shared" ca="1" si="13"/>
        <v>44850.422318518518</v>
      </c>
      <c r="D232" s="6" t="s">
        <v>248</v>
      </c>
      <c r="E232" s="6"/>
      <c r="F232" s="7">
        <f t="shared" si="14"/>
        <v>91</v>
      </c>
      <c r="G232" s="9">
        <f t="shared" ca="1" si="15"/>
        <v>-45595</v>
      </c>
      <c r="H232" s="9"/>
      <c r="I232" s="50"/>
      <c r="J232" s="50"/>
      <c r="K232" s="50"/>
      <c r="L232" s="50"/>
      <c r="M232" s="50"/>
      <c r="N232" s="50"/>
      <c r="O232" s="50"/>
      <c r="P232" s="50"/>
      <c r="Q232" s="50"/>
      <c r="R232" s="51"/>
    </row>
    <row r="233" spans="1:18" ht="18" customHeight="1" x14ac:dyDescent="0.3">
      <c r="A233" s="18">
        <v>230</v>
      </c>
      <c r="B233" s="7">
        <f t="shared" ca="1" si="12"/>
        <v>44850.422363541664</v>
      </c>
      <c r="C233" s="8">
        <f t="shared" ca="1" si="13"/>
        <v>44850.422363541664</v>
      </c>
      <c r="D233" s="6" t="s">
        <v>249</v>
      </c>
      <c r="E233" s="6"/>
      <c r="F233" s="7">
        <f t="shared" si="14"/>
        <v>91</v>
      </c>
      <c r="G233" s="9">
        <f t="shared" ca="1" si="15"/>
        <v>-45595</v>
      </c>
      <c r="H233" s="9"/>
      <c r="I233" s="50"/>
      <c r="J233" s="50"/>
      <c r="K233" s="50"/>
      <c r="L233" s="50"/>
      <c r="M233" s="50"/>
      <c r="N233" s="50"/>
      <c r="O233" s="50"/>
      <c r="P233" s="50"/>
      <c r="Q233" s="50"/>
      <c r="R233" s="51"/>
    </row>
    <row r="234" spans="1:18" ht="18" customHeight="1" x14ac:dyDescent="0.3">
      <c r="A234" s="18">
        <v>231</v>
      </c>
      <c r="B234" s="7">
        <f t="shared" ca="1" si="12"/>
        <v>44850.42238935185</v>
      </c>
      <c r="C234" s="8">
        <f t="shared" ca="1" si="13"/>
        <v>44850.42238935185</v>
      </c>
      <c r="D234" s="6" t="s">
        <v>250</v>
      </c>
      <c r="E234" s="6"/>
      <c r="F234" s="7">
        <f t="shared" si="14"/>
        <v>91</v>
      </c>
      <c r="G234" s="9">
        <f t="shared" ca="1" si="15"/>
        <v>-45595</v>
      </c>
      <c r="H234" s="9"/>
      <c r="I234" s="50"/>
      <c r="J234" s="50"/>
      <c r="K234" s="50"/>
      <c r="L234" s="50"/>
      <c r="M234" s="50"/>
      <c r="N234" s="50"/>
      <c r="O234" s="50"/>
      <c r="P234" s="50"/>
      <c r="Q234" s="50"/>
      <c r="R234" s="51"/>
    </row>
    <row r="235" spans="1:18" ht="18" customHeight="1" x14ac:dyDescent="0.3">
      <c r="A235" s="18">
        <v>232</v>
      </c>
      <c r="B235" s="7">
        <f t="shared" ca="1" si="12"/>
        <v>44850.422414004628</v>
      </c>
      <c r="C235" s="8">
        <f t="shared" ca="1" si="13"/>
        <v>44850.422414004628</v>
      </c>
      <c r="D235" s="6" t="s">
        <v>251</v>
      </c>
      <c r="E235" s="6"/>
      <c r="F235" s="7">
        <f t="shared" si="14"/>
        <v>91</v>
      </c>
      <c r="G235" s="9">
        <f t="shared" ca="1" si="15"/>
        <v>-45595</v>
      </c>
      <c r="H235" s="9"/>
      <c r="I235" s="50"/>
      <c r="J235" s="50"/>
      <c r="K235" s="50"/>
      <c r="L235" s="50"/>
      <c r="M235" s="50"/>
      <c r="N235" s="50"/>
      <c r="O235" s="50"/>
      <c r="P235" s="50"/>
      <c r="Q235" s="50"/>
      <c r="R235" s="51"/>
    </row>
    <row r="236" spans="1:18" ht="18" customHeight="1" x14ac:dyDescent="0.3">
      <c r="A236" s="18">
        <v>233</v>
      </c>
      <c r="B236" s="7">
        <f t="shared" ca="1" si="12"/>
        <v>44850.422470949074</v>
      </c>
      <c r="C236" s="8">
        <f t="shared" ca="1" si="13"/>
        <v>44850.422470949074</v>
      </c>
      <c r="D236" s="6" t="s">
        <v>252</v>
      </c>
      <c r="E236" s="6"/>
      <c r="F236" s="7">
        <f t="shared" si="14"/>
        <v>91</v>
      </c>
      <c r="G236" s="9">
        <f t="shared" ca="1" si="15"/>
        <v>-45595</v>
      </c>
      <c r="H236" s="9"/>
      <c r="I236" s="50"/>
      <c r="J236" s="50"/>
      <c r="K236" s="50"/>
      <c r="L236" s="50"/>
      <c r="M236" s="50"/>
      <c r="N236" s="50"/>
      <c r="O236" s="50"/>
      <c r="P236" s="50"/>
      <c r="Q236" s="50"/>
      <c r="R236" s="51"/>
    </row>
    <row r="237" spans="1:18" ht="18" customHeight="1" x14ac:dyDescent="0.3">
      <c r="A237" s="18">
        <v>234</v>
      </c>
      <c r="B237" s="7">
        <f t="shared" ca="1" si="12"/>
        <v>44850.422489467594</v>
      </c>
      <c r="C237" s="8">
        <f t="shared" ca="1" si="13"/>
        <v>44850.422489467594</v>
      </c>
      <c r="D237" s="6" t="s">
        <v>253</v>
      </c>
      <c r="E237" s="6"/>
      <c r="F237" s="7">
        <f t="shared" si="14"/>
        <v>91</v>
      </c>
      <c r="G237" s="9">
        <f t="shared" ca="1" si="15"/>
        <v>-45595</v>
      </c>
      <c r="H237" s="9"/>
      <c r="I237" s="50"/>
      <c r="J237" s="50"/>
      <c r="K237" s="50"/>
      <c r="L237" s="50"/>
      <c r="M237" s="50"/>
      <c r="N237" s="50"/>
      <c r="O237" s="50"/>
      <c r="P237" s="50"/>
      <c r="Q237" s="50"/>
      <c r="R237" s="51"/>
    </row>
    <row r="238" spans="1:18" ht="18" customHeight="1" x14ac:dyDescent="0.3">
      <c r="A238" s="18">
        <v>235</v>
      </c>
      <c r="B238" s="7">
        <f t="shared" ca="1" si="12"/>
        <v>44850.422513194448</v>
      </c>
      <c r="C238" s="8">
        <f t="shared" ca="1" si="13"/>
        <v>44850.422513194448</v>
      </c>
      <c r="D238" s="6" t="s">
        <v>254</v>
      </c>
      <c r="E238" s="6"/>
      <c r="F238" s="7">
        <f t="shared" si="14"/>
        <v>91</v>
      </c>
      <c r="G238" s="9">
        <f t="shared" ca="1" si="15"/>
        <v>-45595</v>
      </c>
      <c r="H238" s="9"/>
      <c r="I238" s="50"/>
      <c r="J238" s="50"/>
      <c r="K238" s="50"/>
      <c r="L238" s="50"/>
      <c r="M238" s="50"/>
      <c r="N238" s="50"/>
      <c r="O238" s="50"/>
      <c r="P238" s="50"/>
      <c r="Q238" s="50"/>
      <c r="R238" s="51"/>
    </row>
    <row r="239" spans="1:18" ht="18" customHeight="1" x14ac:dyDescent="0.3">
      <c r="A239" s="18">
        <v>236</v>
      </c>
      <c r="B239" s="7">
        <f t="shared" ca="1" si="12"/>
        <v>44850.422534375</v>
      </c>
      <c r="C239" s="8">
        <f t="shared" ca="1" si="13"/>
        <v>44850.422534375</v>
      </c>
      <c r="D239" s="6" t="s">
        <v>255</v>
      </c>
      <c r="E239" s="6"/>
      <c r="F239" s="7">
        <f t="shared" si="14"/>
        <v>91</v>
      </c>
      <c r="G239" s="9">
        <f t="shared" ca="1" si="15"/>
        <v>-45595</v>
      </c>
      <c r="H239" s="9"/>
      <c r="I239" s="50"/>
      <c r="J239" s="50"/>
      <c r="K239" s="50"/>
      <c r="L239" s="50"/>
      <c r="M239" s="50"/>
      <c r="N239" s="50"/>
      <c r="O239" s="50"/>
      <c r="P239" s="50"/>
      <c r="Q239" s="50"/>
      <c r="R239" s="51"/>
    </row>
    <row r="240" spans="1:18" ht="18" customHeight="1" x14ac:dyDescent="0.3">
      <c r="A240" s="18">
        <v>237</v>
      </c>
      <c r="B240" s="7">
        <f t="shared" ca="1" si="12"/>
        <v>44850.422553703705</v>
      </c>
      <c r="C240" s="8">
        <f t="shared" ca="1" si="13"/>
        <v>44850.422553703705</v>
      </c>
      <c r="D240" s="6" t="s">
        <v>256</v>
      </c>
      <c r="E240" s="6"/>
      <c r="F240" s="7">
        <f t="shared" si="14"/>
        <v>91</v>
      </c>
      <c r="G240" s="9">
        <f t="shared" ca="1" si="15"/>
        <v>-45595</v>
      </c>
      <c r="H240" s="9"/>
      <c r="I240" s="50"/>
      <c r="J240" s="50"/>
      <c r="K240" s="50"/>
      <c r="L240" s="50"/>
      <c r="M240" s="50"/>
      <c r="N240" s="50"/>
      <c r="O240" s="50"/>
      <c r="P240" s="50"/>
      <c r="Q240" s="50"/>
      <c r="R240" s="51"/>
    </row>
    <row r="241" spans="1:18" ht="18" customHeight="1" x14ac:dyDescent="0.3">
      <c r="A241" s="18">
        <v>238</v>
      </c>
      <c r="B241" s="7">
        <f t="shared" ca="1" si="12"/>
        <v>44850.422579166669</v>
      </c>
      <c r="C241" s="8">
        <f t="shared" ca="1" si="13"/>
        <v>44850.422579166669</v>
      </c>
      <c r="D241" s="6" t="s">
        <v>257</v>
      </c>
      <c r="E241" s="6"/>
      <c r="F241" s="7">
        <f t="shared" si="14"/>
        <v>91</v>
      </c>
      <c r="G241" s="9">
        <f t="shared" ca="1" si="15"/>
        <v>-45595</v>
      </c>
      <c r="H241" s="9"/>
      <c r="I241" s="50"/>
      <c r="J241" s="50"/>
      <c r="K241" s="50"/>
      <c r="L241" s="50"/>
      <c r="M241" s="50"/>
      <c r="N241" s="50"/>
      <c r="O241" s="50"/>
      <c r="P241" s="50"/>
      <c r="Q241" s="50"/>
      <c r="R241" s="51"/>
    </row>
    <row r="242" spans="1:18" ht="18" customHeight="1" x14ac:dyDescent="0.3">
      <c r="A242" s="18">
        <v>239</v>
      </c>
      <c r="B242" s="7">
        <f t="shared" ca="1" si="12"/>
        <v>44850.422637384261</v>
      </c>
      <c r="C242" s="8">
        <f t="shared" ca="1" si="13"/>
        <v>44850.422637384261</v>
      </c>
      <c r="D242" s="6" t="s">
        <v>258</v>
      </c>
      <c r="E242" s="6"/>
      <c r="F242" s="7">
        <f t="shared" si="14"/>
        <v>91</v>
      </c>
      <c r="G242" s="9">
        <f t="shared" ca="1" si="15"/>
        <v>-45595</v>
      </c>
      <c r="H242" s="9"/>
      <c r="I242" s="50"/>
      <c r="J242" s="50"/>
      <c r="K242" s="50"/>
      <c r="L242" s="50"/>
      <c r="M242" s="50"/>
      <c r="N242" s="50"/>
      <c r="O242" s="50"/>
      <c r="P242" s="50"/>
      <c r="Q242" s="50"/>
      <c r="R242" s="51"/>
    </row>
    <row r="243" spans="1:18" ht="18" customHeight="1" x14ac:dyDescent="0.3">
      <c r="A243" s="18">
        <v>240</v>
      </c>
      <c r="B243" s="7">
        <f t="shared" ca="1" si="12"/>
        <v>44850.422661689816</v>
      </c>
      <c r="C243" s="8">
        <f t="shared" ca="1" si="13"/>
        <v>44850.422661689816</v>
      </c>
      <c r="D243" s="6" t="s">
        <v>259</v>
      </c>
      <c r="E243" s="6"/>
      <c r="F243" s="7">
        <f t="shared" si="14"/>
        <v>91</v>
      </c>
      <c r="G243" s="9">
        <f t="shared" ca="1" si="15"/>
        <v>-45595</v>
      </c>
      <c r="H243" s="9"/>
      <c r="I243" s="50"/>
      <c r="J243" s="50"/>
      <c r="K243" s="50"/>
      <c r="L243" s="50"/>
      <c r="M243" s="50"/>
      <c r="N243" s="50"/>
      <c r="O243" s="50"/>
      <c r="P243" s="50"/>
      <c r="Q243" s="50"/>
      <c r="R243" s="51"/>
    </row>
    <row r="244" spans="1:18" ht="18" customHeight="1" x14ac:dyDescent="0.3">
      <c r="A244" s="18">
        <v>241</v>
      </c>
      <c r="B244" s="7">
        <f t="shared" ca="1" si="12"/>
        <v>44850.42268703704</v>
      </c>
      <c r="C244" s="8">
        <f t="shared" ca="1" si="13"/>
        <v>44850.42268703704</v>
      </c>
      <c r="D244" s="6" t="s">
        <v>260</v>
      </c>
      <c r="E244" s="6"/>
      <c r="F244" s="7">
        <f t="shared" si="14"/>
        <v>91</v>
      </c>
      <c r="G244" s="9">
        <f t="shared" ca="1" si="15"/>
        <v>-45595</v>
      </c>
      <c r="H244" s="9"/>
      <c r="I244" s="50"/>
      <c r="J244" s="50"/>
      <c r="K244" s="50"/>
      <c r="L244" s="50"/>
      <c r="M244" s="50"/>
      <c r="N244" s="50"/>
      <c r="O244" s="50"/>
      <c r="P244" s="50"/>
      <c r="Q244" s="50"/>
      <c r="R244" s="51"/>
    </row>
    <row r="245" spans="1:18" ht="18" customHeight="1" x14ac:dyDescent="0.3">
      <c r="A245" s="18">
        <v>242</v>
      </c>
      <c r="B245" s="7">
        <f t="shared" ca="1" si="12"/>
        <v>44850.422707291669</v>
      </c>
      <c r="C245" s="8">
        <f t="shared" ca="1" si="13"/>
        <v>44850.422707291669</v>
      </c>
      <c r="D245" s="6" t="s">
        <v>261</v>
      </c>
      <c r="E245" s="6"/>
      <c r="F245" s="7">
        <f t="shared" si="14"/>
        <v>91</v>
      </c>
      <c r="G245" s="9">
        <f t="shared" ca="1" si="15"/>
        <v>-45595</v>
      </c>
      <c r="H245" s="9"/>
      <c r="I245" s="50"/>
      <c r="J245" s="50"/>
      <c r="K245" s="50"/>
      <c r="L245" s="50"/>
      <c r="M245" s="50"/>
      <c r="N245" s="50"/>
      <c r="O245" s="50"/>
      <c r="P245" s="50"/>
      <c r="Q245" s="50"/>
      <c r="R245" s="51"/>
    </row>
    <row r="246" spans="1:18" ht="18" customHeight="1" x14ac:dyDescent="0.3">
      <c r="A246" s="18">
        <v>243</v>
      </c>
      <c r="B246" s="7">
        <f t="shared" ca="1" si="12"/>
        <v>44850.422731597224</v>
      </c>
      <c r="C246" s="8">
        <f t="shared" ca="1" si="13"/>
        <v>44850.422731597224</v>
      </c>
      <c r="D246" s="6" t="s">
        <v>262</v>
      </c>
      <c r="E246" s="6"/>
      <c r="F246" s="7">
        <f t="shared" si="14"/>
        <v>91</v>
      </c>
      <c r="G246" s="9">
        <f t="shared" ca="1" si="15"/>
        <v>-45595</v>
      </c>
      <c r="H246" s="9"/>
      <c r="I246" s="50"/>
      <c r="J246" s="50"/>
      <c r="K246" s="50"/>
      <c r="L246" s="50"/>
      <c r="M246" s="50"/>
      <c r="N246" s="50"/>
      <c r="O246" s="50"/>
      <c r="P246" s="50"/>
      <c r="Q246" s="50"/>
      <c r="R246" s="51"/>
    </row>
    <row r="247" spans="1:18" ht="18" customHeight="1" x14ac:dyDescent="0.3">
      <c r="A247" s="18">
        <v>244</v>
      </c>
      <c r="B247" s="7">
        <f t="shared" ca="1" si="12"/>
        <v>44850.422752430553</v>
      </c>
      <c r="C247" s="8">
        <f t="shared" ca="1" si="13"/>
        <v>44850.422752430553</v>
      </c>
      <c r="D247" s="6" t="s">
        <v>263</v>
      </c>
      <c r="E247" s="6"/>
      <c r="F247" s="7">
        <f t="shared" si="14"/>
        <v>91</v>
      </c>
      <c r="G247" s="9">
        <f t="shared" ca="1" si="15"/>
        <v>-45595</v>
      </c>
      <c r="H247" s="9"/>
      <c r="I247" s="50"/>
      <c r="J247" s="50"/>
      <c r="K247" s="50"/>
      <c r="L247" s="50"/>
      <c r="M247" s="50"/>
      <c r="N247" s="50"/>
      <c r="O247" s="50"/>
      <c r="P247" s="50"/>
      <c r="Q247" s="50"/>
      <c r="R247" s="51"/>
    </row>
    <row r="248" spans="1:18" ht="18" customHeight="1" x14ac:dyDescent="0.3">
      <c r="A248" s="18">
        <v>245</v>
      </c>
      <c r="B248" s="7">
        <f t="shared" ca="1" si="12"/>
        <v>44850.422778935186</v>
      </c>
      <c r="C248" s="8">
        <f t="shared" ca="1" si="13"/>
        <v>44850.422778935186</v>
      </c>
      <c r="D248" s="6" t="s">
        <v>264</v>
      </c>
      <c r="E248" s="6"/>
      <c r="F248" s="7">
        <f t="shared" si="14"/>
        <v>91</v>
      </c>
      <c r="G248" s="9">
        <f t="shared" ca="1" si="15"/>
        <v>-45595</v>
      </c>
      <c r="H248" s="9"/>
      <c r="I248" s="50"/>
      <c r="J248" s="50"/>
      <c r="K248" s="50"/>
      <c r="L248" s="50"/>
      <c r="M248" s="50"/>
      <c r="N248" s="50"/>
      <c r="O248" s="50"/>
      <c r="P248" s="50"/>
      <c r="Q248" s="50"/>
      <c r="R248" s="51"/>
    </row>
    <row r="249" spans="1:18" ht="18" customHeight="1" x14ac:dyDescent="0.3">
      <c r="A249" s="18">
        <v>246</v>
      </c>
      <c r="B249" s="7">
        <f t="shared" ca="1" si="12"/>
        <v>44850.422804166665</v>
      </c>
      <c r="C249" s="8">
        <f t="shared" ca="1" si="13"/>
        <v>44850.422804166665</v>
      </c>
      <c r="D249" s="6" t="s">
        <v>265</v>
      </c>
      <c r="E249" s="6"/>
      <c r="F249" s="7">
        <f t="shared" si="14"/>
        <v>91</v>
      </c>
      <c r="G249" s="9">
        <f t="shared" ca="1" si="15"/>
        <v>-45595</v>
      </c>
      <c r="H249" s="9"/>
      <c r="I249" s="50"/>
      <c r="J249" s="50"/>
      <c r="K249" s="50"/>
      <c r="L249" s="50"/>
      <c r="M249" s="50"/>
      <c r="N249" s="50"/>
      <c r="O249" s="50"/>
      <c r="P249" s="50"/>
      <c r="Q249" s="50"/>
      <c r="R249" s="51"/>
    </row>
    <row r="250" spans="1:18" ht="18" customHeight="1" x14ac:dyDescent="0.3">
      <c r="A250" s="18">
        <v>247</v>
      </c>
      <c r="B250" s="7">
        <f t="shared" ca="1" si="12"/>
        <v>44850.422828356481</v>
      </c>
      <c r="C250" s="8">
        <f t="shared" ca="1" si="13"/>
        <v>44850.422828356481</v>
      </c>
      <c r="D250" s="6" t="s">
        <v>266</v>
      </c>
      <c r="E250" s="6"/>
      <c r="F250" s="7">
        <f t="shared" si="14"/>
        <v>91</v>
      </c>
      <c r="G250" s="9">
        <f t="shared" ca="1" si="15"/>
        <v>-45595</v>
      </c>
      <c r="H250" s="9"/>
      <c r="I250" s="50"/>
      <c r="J250" s="50"/>
      <c r="K250" s="50"/>
      <c r="L250" s="50"/>
      <c r="M250" s="50"/>
      <c r="N250" s="50"/>
      <c r="O250" s="50"/>
      <c r="P250" s="50"/>
      <c r="Q250" s="50"/>
      <c r="R250" s="51"/>
    </row>
    <row r="251" spans="1:18" ht="18" customHeight="1" x14ac:dyDescent="0.3">
      <c r="A251" s="18">
        <v>248</v>
      </c>
      <c r="B251" s="7">
        <f t="shared" ca="1" si="12"/>
        <v>44850.422848958333</v>
      </c>
      <c r="C251" s="8">
        <f t="shared" ca="1" si="13"/>
        <v>44850.422848958333</v>
      </c>
      <c r="D251" s="6" t="s">
        <v>267</v>
      </c>
      <c r="E251" s="6"/>
      <c r="F251" s="7">
        <f t="shared" si="14"/>
        <v>91</v>
      </c>
      <c r="G251" s="9">
        <f t="shared" ca="1" si="15"/>
        <v>-45595</v>
      </c>
      <c r="H251" s="9"/>
      <c r="I251" s="50"/>
      <c r="J251" s="50"/>
      <c r="K251" s="50"/>
      <c r="L251" s="50"/>
      <c r="M251" s="50"/>
      <c r="N251" s="50"/>
      <c r="O251" s="50"/>
      <c r="P251" s="50"/>
      <c r="Q251" s="50"/>
      <c r="R251" s="51"/>
    </row>
    <row r="252" spans="1:18" ht="18" customHeight="1" x14ac:dyDescent="0.3">
      <c r="A252" s="18">
        <v>249</v>
      </c>
      <c r="B252" s="7">
        <f t="shared" ca="1" si="12"/>
        <v>44850.422870601855</v>
      </c>
      <c r="C252" s="8">
        <f t="shared" ca="1" si="13"/>
        <v>44850.422870601855</v>
      </c>
      <c r="D252" s="6" t="s">
        <v>268</v>
      </c>
      <c r="E252" s="6"/>
      <c r="F252" s="7">
        <f t="shared" si="14"/>
        <v>91</v>
      </c>
      <c r="G252" s="9">
        <f t="shared" ca="1" si="15"/>
        <v>-45595</v>
      </c>
      <c r="H252" s="9"/>
      <c r="I252" s="50"/>
      <c r="J252" s="50"/>
      <c r="K252" s="50"/>
      <c r="L252" s="50"/>
      <c r="M252" s="50"/>
      <c r="N252" s="50"/>
      <c r="O252" s="50"/>
      <c r="P252" s="50"/>
      <c r="Q252" s="50"/>
      <c r="R252" s="51"/>
    </row>
    <row r="253" spans="1:18" ht="18" customHeight="1" x14ac:dyDescent="0.3">
      <c r="A253" s="18">
        <v>250</v>
      </c>
      <c r="B253" s="7">
        <f t="shared" ca="1" si="12"/>
        <v>44850.422893171293</v>
      </c>
      <c r="C253" s="8">
        <f t="shared" ca="1" si="13"/>
        <v>44850.422893171293</v>
      </c>
      <c r="D253" s="6" t="s">
        <v>269</v>
      </c>
      <c r="E253" s="6"/>
      <c r="F253" s="7">
        <f t="shared" si="14"/>
        <v>91</v>
      </c>
      <c r="G253" s="9">
        <f t="shared" ca="1" si="15"/>
        <v>-45595</v>
      </c>
      <c r="H253" s="9"/>
      <c r="I253" s="50"/>
      <c r="J253" s="50"/>
      <c r="K253" s="50"/>
      <c r="L253" s="50"/>
      <c r="M253" s="50"/>
      <c r="N253" s="50"/>
      <c r="O253" s="50"/>
      <c r="P253" s="50"/>
      <c r="Q253" s="50"/>
      <c r="R253" s="51"/>
    </row>
    <row r="254" spans="1:18" ht="18" customHeight="1" x14ac:dyDescent="0.3">
      <c r="A254" s="18">
        <v>251</v>
      </c>
      <c r="B254" s="7">
        <f t="shared" ca="1" si="12"/>
        <v>44850.422922337966</v>
      </c>
      <c r="C254" s="8">
        <f t="shared" ca="1" si="13"/>
        <v>44850.422922337966</v>
      </c>
      <c r="D254" s="6" t="s">
        <v>270</v>
      </c>
      <c r="E254" s="6"/>
      <c r="F254" s="7">
        <f t="shared" si="14"/>
        <v>91</v>
      </c>
      <c r="G254" s="9">
        <f t="shared" ca="1" si="15"/>
        <v>-45595</v>
      </c>
      <c r="H254" s="9"/>
      <c r="I254" s="50"/>
      <c r="J254" s="50"/>
      <c r="K254" s="50"/>
      <c r="L254" s="50"/>
      <c r="M254" s="50"/>
      <c r="N254" s="50"/>
      <c r="O254" s="50"/>
      <c r="P254" s="50"/>
      <c r="Q254" s="50"/>
      <c r="R254" s="51"/>
    </row>
    <row r="255" spans="1:18" ht="18" customHeight="1" x14ac:dyDescent="0.3">
      <c r="A255" s="18">
        <v>252</v>
      </c>
      <c r="B255" s="7">
        <f t="shared" ca="1" si="12"/>
        <v>44850.422942245372</v>
      </c>
      <c r="C255" s="8">
        <f t="shared" ca="1" si="13"/>
        <v>44850.422942245372</v>
      </c>
      <c r="D255" s="6" t="s">
        <v>271</v>
      </c>
      <c r="E255" s="6"/>
      <c r="F255" s="7">
        <f t="shared" si="14"/>
        <v>91</v>
      </c>
      <c r="G255" s="9">
        <f t="shared" ca="1" si="15"/>
        <v>-45595</v>
      </c>
      <c r="H255" s="9"/>
      <c r="I255" s="50"/>
      <c r="J255" s="50"/>
      <c r="K255" s="50"/>
      <c r="L255" s="50"/>
      <c r="M255" s="50"/>
      <c r="N255" s="50"/>
      <c r="O255" s="50"/>
      <c r="P255" s="50"/>
      <c r="Q255" s="50"/>
      <c r="R255" s="51"/>
    </row>
    <row r="256" spans="1:18" ht="18" customHeight="1" x14ac:dyDescent="0.3">
      <c r="A256" s="18">
        <v>253</v>
      </c>
      <c r="B256" s="7">
        <f t="shared" ca="1" si="12"/>
        <v>44850.422960995369</v>
      </c>
      <c r="C256" s="8">
        <f t="shared" ca="1" si="13"/>
        <v>44850.422960995369</v>
      </c>
      <c r="D256" s="6" t="s">
        <v>272</v>
      </c>
      <c r="E256" s="6"/>
      <c r="F256" s="7">
        <f t="shared" si="14"/>
        <v>91</v>
      </c>
      <c r="G256" s="9">
        <f t="shared" ca="1" si="15"/>
        <v>-45595</v>
      </c>
      <c r="H256" s="9"/>
      <c r="I256" s="50"/>
      <c r="J256" s="50"/>
      <c r="K256" s="50"/>
      <c r="L256" s="50"/>
      <c r="M256" s="50"/>
      <c r="N256" s="50"/>
      <c r="O256" s="50"/>
      <c r="P256" s="50"/>
      <c r="Q256" s="50"/>
      <c r="R256" s="51"/>
    </row>
    <row r="257" spans="1:18" ht="18" customHeight="1" x14ac:dyDescent="0.3">
      <c r="A257" s="18">
        <v>254</v>
      </c>
      <c r="B257" s="7">
        <f t="shared" ca="1" si="12"/>
        <v>44850.422979861112</v>
      </c>
      <c r="C257" s="8">
        <f t="shared" ca="1" si="13"/>
        <v>44850.422979861112</v>
      </c>
      <c r="D257" s="6" t="s">
        <v>273</v>
      </c>
      <c r="E257" s="6"/>
      <c r="F257" s="7">
        <f t="shared" si="14"/>
        <v>91</v>
      </c>
      <c r="G257" s="9">
        <f t="shared" ca="1" si="15"/>
        <v>-45595</v>
      </c>
      <c r="H257" s="9"/>
      <c r="I257" s="50"/>
      <c r="J257" s="50"/>
      <c r="K257" s="50"/>
      <c r="L257" s="50"/>
      <c r="M257" s="50"/>
      <c r="N257" s="50"/>
      <c r="O257" s="50"/>
      <c r="P257" s="50"/>
      <c r="Q257" s="50"/>
      <c r="R257" s="51"/>
    </row>
    <row r="258" spans="1:18" ht="18" customHeight="1" x14ac:dyDescent="0.3">
      <c r="A258" s="18">
        <v>255</v>
      </c>
      <c r="B258" s="7">
        <f t="shared" ca="1" si="12"/>
        <v>44850.422998842594</v>
      </c>
      <c r="C258" s="8">
        <f t="shared" ca="1" si="13"/>
        <v>44850.422998842594</v>
      </c>
      <c r="D258" s="6" t="s">
        <v>274</v>
      </c>
      <c r="E258" s="6"/>
      <c r="F258" s="7">
        <f t="shared" si="14"/>
        <v>91</v>
      </c>
      <c r="G258" s="9">
        <f t="shared" ca="1" si="15"/>
        <v>-45595</v>
      </c>
      <c r="H258" s="9"/>
      <c r="I258" s="50"/>
      <c r="J258" s="50"/>
      <c r="K258" s="50"/>
      <c r="L258" s="50"/>
      <c r="M258" s="50"/>
      <c r="N258" s="50"/>
      <c r="O258" s="50"/>
      <c r="P258" s="50"/>
      <c r="Q258" s="50"/>
      <c r="R258" s="51"/>
    </row>
    <row r="259" spans="1:18" ht="18" customHeight="1" x14ac:dyDescent="0.3">
      <c r="A259" s="18">
        <v>256</v>
      </c>
      <c r="B259" s="7">
        <f t="shared" ca="1" si="12"/>
        <v>44850.423016435183</v>
      </c>
      <c r="C259" s="8">
        <f t="shared" ca="1" si="13"/>
        <v>44850.423016435183</v>
      </c>
      <c r="D259" s="6" t="s">
        <v>275</v>
      </c>
      <c r="E259" s="6"/>
      <c r="F259" s="7">
        <f t="shared" si="14"/>
        <v>91</v>
      </c>
      <c r="G259" s="9">
        <f t="shared" ca="1" si="15"/>
        <v>-45595</v>
      </c>
      <c r="H259" s="9"/>
      <c r="I259" s="50"/>
      <c r="J259" s="50"/>
      <c r="K259" s="50"/>
      <c r="L259" s="50"/>
      <c r="M259" s="50"/>
      <c r="N259" s="50"/>
      <c r="O259" s="50"/>
      <c r="P259" s="50"/>
      <c r="Q259" s="50"/>
      <c r="R259" s="51"/>
    </row>
    <row r="260" spans="1:18" ht="18" customHeight="1" x14ac:dyDescent="0.3">
      <c r="A260" s="18">
        <v>257</v>
      </c>
      <c r="B260" s="7">
        <f t="shared" ref="B260:B323" ca="1" si="16">IF(D260 &lt;&gt;"", IF(B260 ="", NOW(), B260), "")</f>
        <v>44850.423034722226</v>
      </c>
      <c r="C260" s="8">
        <f t="shared" ref="C260:C323" ca="1" si="17">IF(D260 &lt;&gt;"", IF(C260 ="", NOW(), C260), "")</f>
        <v>44850.423034722226</v>
      </c>
      <c r="D260" s="6" t="s">
        <v>276</v>
      </c>
      <c r="E260" s="6"/>
      <c r="F260" s="7">
        <f t="shared" ref="F260:F323" si="18">EDATE(E260,3)-0</f>
        <v>91</v>
      </c>
      <c r="G260" s="9">
        <f t="shared" ref="G260:G323" ca="1" si="19">E260-TODAY()</f>
        <v>-45595</v>
      </c>
      <c r="H260" s="9"/>
      <c r="I260" s="50"/>
      <c r="J260" s="50"/>
      <c r="K260" s="50"/>
      <c r="L260" s="50"/>
      <c r="M260" s="50"/>
      <c r="N260" s="50"/>
      <c r="O260" s="50"/>
      <c r="P260" s="50"/>
      <c r="Q260" s="50"/>
      <c r="R260" s="51"/>
    </row>
    <row r="261" spans="1:18" ht="18" customHeight="1" x14ac:dyDescent="0.3">
      <c r="A261" s="18">
        <v>258</v>
      </c>
      <c r="B261" s="7">
        <f t="shared" ca="1" si="16"/>
        <v>44850.423060648151</v>
      </c>
      <c r="C261" s="8">
        <f t="shared" ca="1" si="17"/>
        <v>44850.423060648151</v>
      </c>
      <c r="D261" s="6" t="s">
        <v>277</v>
      </c>
      <c r="E261" s="6"/>
      <c r="F261" s="7">
        <f t="shared" si="18"/>
        <v>91</v>
      </c>
      <c r="G261" s="9">
        <f t="shared" ca="1" si="19"/>
        <v>-45595</v>
      </c>
      <c r="H261" s="9"/>
      <c r="I261" s="50"/>
      <c r="J261" s="50"/>
      <c r="K261" s="50"/>
      <c r="L261" s="50"/>
      <c r="M261" s="50"/>
      <c r="N261" s="50"/>
      <c r="O261" s="50"/>
      <c r="P261" s="50"/>
      <c r="Q261" s="50"/>
      <c r="R261" s="51"/>
    </row>
    <row r="262" spans="1:18" ht="18" customHeight="1" x14ac:dyDescent="0.3">
      <c r="A262" s="18">
        <v>259</v>
      </c>
      <c r="B262" s="7">
        <f t="shared" ca="1" si="16"/>
        <v>44850.423083217589</v>
      </c>
      <c r="C262" s="8">
        <f t="shared" ca="1" si="17"/>
        <v>44850.423083217589</v>
      </c>
      <c r="D262" s="6" t="s">
        <v>278</v>
      </c>
      <c r="E262" s="6"/>
      <c r="F262" s="7">
        <f t="shared" si="18"/>
        <v>91</v>
      </c>
      <c r="G262" s="9">
        <f t="shared" ca="1" si="19"/>
        <v>-45595</v>
      </c>
      <c r="H262" s="9"/>
      <c r="I262" s="50"/>
      <c r="J262" s="50"/>
      <c r="K262" s="50"/>
      <c r="L262" s="50"/>
      <c r="M262" s="50"/>
      <c r="N262" s="50"/>
      <c r="O262" s="50"/>
      <c r="P262" s="50"/>
      <c r="Q262" s="50"/>
      <c r="R262" s="51"/>
    </row>
    <row r="263" spans="1:18" ht="18" customHeight="1" x14ac:dyDescent="0.3">
      <c r="A263" s="18">
        <v>260</v>
      </c>
      <c r="B263" s="7">
        <f t="shared" ca="1" si="16"/>
        <v>44850.423103240741</v>
      </c>
      <c r="C263" s="8">
        <f t="shared" ca="1" si="17"/>
        <v>44850.423103240741</v>
      </c>
      <c r="D263" s="6" t="s">
        <v>279</v>
      </c>
      <c r="E263" s="6"/>
      <c r="F263" s="7">
        <f t="shared" si="18"/>
        <v>91</v>
      </c>
      <c r="G263" s="9">
        <f t="shared" ca="1" si="19"/>
        <v>-45595</v>
      </c>
      <c r="H263" s="9"/>
      <c r="I263" s="50"/>
      <c r="J263" s="50"/>
      <c r="K263" s="50"/>
      <c r="L263" s="50"/>
      <c r="M263" s="50"/>
      <c r="N263" s="50"/>
      <c r="O263" s="50"/>
      <c r="P263" s="50"/>
      <c r="Q263" s="50"/>
      <c r="R263" s="51"/>
    </row>
    <row r="264" spans="1:18" ht="18" customHeight="1" x14ac:dyDescent="0.3">
      <c r="A264" s="18">
        <v>261</v>
      </c>
      <c r="B264" s="7">
        <f t="shared" ca="1" si="16"/>
        <v>44850.423121990738</v>
      </c>
      <c r="C264" s="8">
        <f t="shared" ca="1" si="17"/>
        <v>44850.423121990738</v>
      </c>
      <c r="D264" s="6" t="s">
        <v>280</v>
      </c>
      <c r="E264" s="6"/>
      <c r="F264" s="7">
        <f t="shared" si="18"/>
        <v>91</v>
      </c>
      <c r="G264" s="9">
        <f t="shared" ca="1" si="19"/>
        <v>-45595</v>
      </c>
      <c r="H264" s="9"/>
      <c r="I264" s="50"/>
      <c r="J264" s="50"/>
      <c r="K264" s="50"/>
      <c r="L264" s="50"/>
      <c r="M264" s="50"/>
      <c r="N264" s="50"/>
      <c r="O264" s="50"/>
      <c r="P264" s="50"/>
      <c r="Q264" s="50"/>
      <c r="R264" s="51"/>
    </row>
    <row r="265" spans="1:18" ht="18" customHeight="1" x14ac:dyDescent="0.3">
      <c r="A265" s="18">
        <v>262</v>
      </c>
      <c r="B265" s="7">
        <f t="shared" ca="1" si="16"/>
        <v>44850.42317800926</v>
      </c>
      <c r="C265" s="8">
        <f t="shared" ca="1" si="17"/>
        <v>44850.42317800926</v>
      </c>
      <c r="D265" s="6" t="s">
        <v>281</v>
      </c>
      <c r="E265" s="6"/>
      <c r="F265" s="7">
        <f t="shared" si="18"/>
        <v>91</v>
      </c>
      <c r="G265" s="9">
        <f t="shared" ca="1" si="19"/>
        <v>-45595</v>
      </c>
      <c r="H265" s="9"/>
      <c r="I265" s="50"/>
      <c r="J265" s="50"/>
      <c r="K265" s="50"/>
      <c r="L265" s="50"/>
      <c r="M265" s="50"/>
      <c r="N265" s="50"/>
      <c r="O265" s="50"/>
      <c r="P265" s="50"/>
      <c r="Q265" s="50"/>
      <c r="R265" s="51"/>
    </row>
    <row r="266" spans="1:18" ht="18" customHeight="1" x14ac:dyDescent="0.3">
      <c r="A266" s="18">
        <v>263</v>
      </c>
      <c r="B266" s="7">
        <f t="shared" ca="1" si="16"/>
        <v>44850.423198495373</v>
      </c>
      <c r="C266" s="8">
        <f t="shared" ca="1" si="17"/>
        <v>44850.423198495373</v>
      </c>
      <c r="D266" s="6" t="s">
        <v>282</v>
      </c>
      <c r="E266" s="6"/>
      <c r="F266" s="7">
        <f t="shared" si="18"/>
        <v>91</v>
      </c>
      <c r="G266" s="9">
        <f t="shared" ca="1" si="19"/>
        <v>-45595</v>
      </c>
      <c r="H266" s="9"/>
      <c r="I266" s="50"/>
      <c r="J266" s="50"/>
      <c r="K266" s="50"/>
      <c r="L266" s="50"/>
      <c r="M266" s="50"/>
      <c r="N266" s="50"/>
      <c r="O266" s="50"/>
      <c r="P266" s="50"/>
      <c r="Q266" s="50"/>
      <c r="R266" s="51"/>
    </row>
    <row r="267" spans="1:18" ht="18" customHeight="1" x14ac:dyDescent="0.3">
      <c r="A267" s="18">
        <v>264</v>
      </c>
      <c r="B267" s="7">
        <f t="shared" ca="1" si="16"/>
        <v>44850.42322650463</v>
      </c>
      <c r="C267" s="8">
        <f t="shared" ca="1" si="17"/>
        <v>44850.42322650463</v>
      </c>
      <c r="D267" s="6" t="s">
        <v>283</v>
      </c>
      <c r="E267" s="6"/>
      <c r="F267" s="7">
        <f t="shared" si="18"/>
        <v>91</v>
      </c>
      <c r="G267" s="9">
        <f t="shared" ca="1" si="19"/>
        <v>-45595</v>
      </c>
      <c r="H267" s="9"/>
      <c r="I267" s="50"/>
      <c r="J267" s="50"/>
      <c r="K267" s="50"/>
      <c r="L267" s="50"/>
      <c r="M267" s="50"/>
      <c r="N267" s="50"/>
      <c r="O267" s="50"/>
      <c r="P267" s="50"/>
      <c r="Q267" s="50"/>
      <c r="R267" s="51"/>
    </row>
    <row r="268" spans="1:18" ht="18" customHeight="1" x14ac:dyDescent="0.3">
      <c r="A268" s="18">
        <v>265</v>
      </c>
      <c r="B268" s="7">
        <f t="shared" ca="1" si="16"/>
        <v>44850.423244791666</v>
      </c>
      <c r="C268" s="8">
        <f t="shared" ca="1" si="17"/>
        <v>44850.423244791666</v>
      </c>
      <c r="D268" s="6" t="s">
        <v>284</v>
      </c>
      <c r="E268" s="6"/>
      <c r="F268" s="7">
        <f t="shared" si="18"/>
        <v>91</v>
      </c>
      <c r="G268" s="9">
        <f t="shared" ca="1" si="19"/>
        <v>-45595</v>
      </c>
      <c r="H268" s="9"/>
      <c r="I268" s="50"/>
      <c r="J268" s="50"/>
      <c r="K268" s="50"/>
      <c r="L268" s="50"/>
      <c r="M268" s="50"/>
      <c r="N268" s="50"/>
      <c r="O268" s="50"/>
      <c r="P268" s="50"/>
      <c r="Q268" s="50"/>
      <c r="R268" s="51"/>
    </row>
    <row r="269" spans="1:18" ht="18" customHeight="1" x14ac:dyDescent="0.3">
      <c r="A269" s="18">
        <v>266</v>
      </c>
      <c r="B269" s="7">
        <f t="shared" ca="1" si="16"/>
        <v>44850.423262962962</v>
      </c>
      <c r="C269" s="8">
        <f t="shared" ca="1" si="17"/>
        <v>44850.423262962962</v>
      </c>
      <c r="D269" s="6" t="s">
        <v>285</v>
      </c>
      <c r="E269" s="6"/>
      <c r="F269" s="7">
        <f t="shared" si="18"/>
        <v>91</v>
      </c>
      <c r="G269" s="9">
        <f t="shared" ca="1" si="19"/>
        <v>-45595</v>
      </c>
      <c r="H269" s="9"/>
      <c r="I269" s="50"/>
      <c r="J269" s="50"/>
      <c r="K269" s="50"/>
      <c r="L269" s="50"/>
      <c r="M269" s="50"/>
      <c r="N269" s="50"/>
      <c r="O269" s="50"/>
      <c r="P269" s="50"/>
      <c r="Q269" s="50"/>
      <c r="R269" s="51"/>
    </row>
    <row r="270" spans="1:18" ht="18" customHeight="1" x14ac:dyDescent="0.3">
      <c r="A270" s="18">
        <v>267</v>
      </c>
      <c r="B270" s="7">
        <f t="shared" ca="1" si="16"/>
        <v>44850.423280324074</v>
      </c>
      <c r="C270" s="8">
        <f t="shared" ca="1" si="17"/>
        <v>44850.423280324074</v>
      </c>
      <c r="D270" s="6" t="s">
        <v>286</v>
      </c>
      <c r="E270" s="6"/>
      <c r="F270" s="7">
        <f t="shared" si="18"/>
        <v>91</v>
      </c>
      <c r="G270" s="9">
        <f t="shared" ca="1" si="19"/>
        <v>-45595</v>
      </c>
      <c r="H270" s="9"/>
      <c r="I270" s="50"/>
      <c r="J270" s="50"/>
      <c r="K270" s="50"/>
      <c r="L270" s="50"/>
      <c r="M270" s="50"/>
      <c r="N270" s="50"/>
      <c r="O270" s="50"/>
      <c r="P270" s="50"/>
      <c r="Q270" s="50"/>
      <c r="R270" s="51"/>
    </row>
    <row r="271" spans="1:18" ht="18" customHeight="1" x14ac:dyDescent="0.3">
      <c r="A271" s="18">
        <v>268</v>
      </c>
      <c r="B271" s="7">
        <f t="shared" ca="1" si="16"/>
        <v>44850.423297106485</v>
      </c>
      <c r="C271" s="8">
        <f t="shared" ca="1" si="17"/>
        <v>44850.423297106485</v>
      </c>
      <c r="D271" s="6" t="s">
        <v>287</v>
      </c>
      <c r="E271" s="6"/>
      <c r="F271" s="7">
        <f t="shared" si="18"/>
        <v>91</v>
      </c>
      <c r="G271" s="9">
        <f t="shared" ca="1" si="19"/>
        <v>-45595</v>
      </c>
      <c r="H271" s="9"/>
      <c r="I271" s="50"/>
      <c r="J271" s="50"/>
      <c r="K271" s="50"/>
      <c r="L271" s="50"/>
      <c r="M271" s="50"/>
      <c r="N271" s="50"/>
      <c r="O271" s="50"/>
      <c r="P271" s="50"/>
      <c r="Q271" s="50"/>
      <c r="R271" s="51"/>
    </row>
    <row r="272" spans="1:18" ht="18" customHeight="1" x14ac:dyDescent="0.3">
      <c r="A272" s="18">
        <v>269</v>
      </c>
      <c r="B272" s="7">
        <f t="shared" ca="1" si="16"/>
        <v>44850.423317245368</v>
      </c>
      <c r="C272" s="8">
        <f t="shared" ca="1" si="17"/>
        <v>44850.423317245368</v>
      </c>
      <c r="D272" s="6" t="s">
        <v>288</v>
      </c>
      <c r="E272" s="6"/>
      <c r="F272" s="7">
        <f t="shared" si="18"/>
        <v>91</v>
      </c>
      <c r="G272" s="9">
        <f t="shared" ca="1" si="19"/>
        <v>-45595</v>
      </c>
      <c r="H272" s="9"/>
      <c r="I272" s="50"/>
      <c r="J272" s="50"/>
      <c r="K272" s="50"/>
      <c r="L272" s="50"/>
      <c r="M272" s="50"/>
      <c r="N272" s="50"/>
      <c r="O272" s="50"/>
      <c r="P272" s="50"/>
      <c r="Q272" s="50"/>
      <c r="R272" s="51"/>
    </row>
    <row r="273" spans="1:18" ht="18" customHeight="1" x14ac:dyDescent="0.3">
      <c r="A273" s="18">
        <v>270</v>
      </c>
      <c r="B273" s="7">
        <f t="shared" ca="1" si="16"/>
        <v>44850.423333101855</v>
      </c>
      <c r="C273" s="8">
        <f t="shared" ca="1" si="17"/>
        <v>44850.423333101855</v>
      </c>
      <c r="D273" s="6" t="s">
        <v>289</v>
      </c>
      <c r="E273" s="6"/>
      <c r="F273" s="7">
        <f t="shared" si="18"/>
        <v>91</v>
      </c>
      <c r="G273" s="9">
        <f t="shared" ca="1" si="19"/>
        <v>-45595</v>
      </c>
      <c r="H273" s="9"/>
      <c r="I273" s="50"/>
      <c r="J273" s="50"/>
      <c r="K273" s="50"/>
      <c r="L273" s="50"/>
      <c r="M273" s="50"/>
      <c r="N273" s="50"/>
      <c r="O273" s="50"/>
      <c r="P273" s="50"/>
      <c r="Q273" s="50"/>
      <c r="R273" s="51"/>
    </row>
    <row r="274" spans="1:18" ht="18" customHeight="1" x14ac:dyDescent="0.3">
      <c r="A274" s="18">
        <v>271</v>
      </c>
      <c r="B274" s="7">
        <f t="shared" ca="1" si="16"/>
        <v>44850.423348842596</v>
      </c>
      <c r="C274" s="8">
        <f t="shared" ca="1" si="17"/>
        <v>44850.423348842596</v>
      </c>
      <c r="D274" s="6" t="s">
        <v>290</v>
      </c>
      <c r="E274" s="6"/>
      <c r="F274" s="7">
        <f t="shared" si="18"/>
        <v>91</v>
      </c>
      <c r="G274" s="9">
        <f t="shared" ca="1" si="19"/>
        <v>-45595</v>
      </c>
      <c r="H274" s="9"/>
      <c r="I274" s="50"/>
      <c r="J274" s="50"/>
      <c r="K274" s="50"/>
      <c r="L274" s="50"/>
      <c r="M274" s="50"/>
      <c r="N274" s="50"/>
      <c r="O274" s="50"/>
      <c r="P274" s="50"/>
      <c r="Q274" s="50"/>
      <c r="R274" s="51"/>
    </row>
    <row r="275" spans="1:18" ht="18" customHeight="1" x14ac:dyDescent="0.3">
      <c r="A275" s="18">
        <v>272</v>
      </c>
      <c r="B275" s="7">
        <f t="shared" ca="1" si="16"/>
        <v>44850.423365740739</v>
      </c>
      <c r="C275" s="8">
        <f t="shared" ca="1" si="17"/>
        <v>44850.423365740739</v>
      </c>
      <c r="D275" s="6" t="s">
        <v>291</v>
      </c>
      <c r="E275" s="6"/>
      <c r="F275" s="7">
        <f t="shared" si="18"/>
        <v>91</v>
      </c>
      <c r="G275" s="9">
        <f t="shared" ca="1" si="19"/>
        <v>-45595</v>
      </c>
      <c r="H275" s="9"/>
      <c r="I275" s="50"/>
      <c r="J275" s="50"/>
      <c r="K275" s="50"/>
      <c r="L275" s="50"/>
      <c r="M275" s="50"/>
      <c r="N275" s="50"/>
      <c r="O275" s="50"/>
      <c r="P275" s="50"/>
      <c r="Q275" s="50"/>
      <c r="R275" s="51"/>
    </row>
    <row r="276" spans="1:18" ht="18" customHeight="1" x14ac:dyDescent="0.3">
      <c r="A276" s="18">
        <v>273</v>
      </c>
      <c r="B276" s="7">
        <f t="shared" ca="1" si="16"/>
        <v>44850.423383449073</v>
      </c>
      <c r="C276" s="8">
        <f t="shared" ca="1" si="17"/>
        <v>44850.423383449073</v>
      </c>
      <c r="D276" s="6" t="s">
        <v>292</v>
      </c>
      <c r="E276" s="6"/>
      <c r="F276" s="7">
        <f t="shared" si="18"/>
        <v>91</v>
      </c>
      <c r="G276" s="9">
        <f t="shared" ca="1" si="19"/>
        <v>-45595</v>
      </c>
      <c r="H276" s="9"/>
      <c r="I276" s="50"/>
      <c r="J276" s="50"/>
      <c r="K276" s="50"/>
      <c r="L276" s="50"/>
      <c r="M276" s="50"/>
      <c r="N276" s="50"/>
      <c r="O276" s="50"/>
      <c r="P276" s="50"/>
      <c r="Q276" s="50"/>
      <c r="R276" s="51"/>
    </row>
    <row r="277" spans="1:18" ht="18" customHeight="1" x14ac:dyDescent="0.3">
      <c r="A277" s="18">
        <v>274</v>
      </c>
      <c r="B277" s="7">
        <f t="shared" ca="1" si="16"/>
        <v>44850.423401851855</v>
      </c>
      <c r="C277" s="8">
        <f t="shared" ca="1" si="17"/>
        <v>44850.423401851855</v>
      </c>
      <c r="D277" s="6" t="s">
        <v>293</v>
      </c>
      <c r="E277" s="6"/>
      <c r="F277" s="7">
        <f t="shared" si="18"/>
        <v>91</v>
      </c>
      <c r="G277" s="9">
        <f t="shared" ca="1" si="19"/>
        <v>-45595</v>
      </c>
      <c r="H277" s="9"/>
      <c r="I277" s="50"/>
      <c r="J277" s="50"/>
      <c r="K277" s="50"/>
      <c r="L277" s="50"/>
      <c r="M277" s="50"/>
      <c r="N277" s="50"/>
      <c r="O277" s="50"/>
      <c r="P277" s="50"/>
      <c r="Q277" s="50"/>
      <c r="R277" s="51"/>
    </row>
    <row r="278" spans="1:18" ht="18" customHeight="1" x14ac:dyDescent="0.3">
      <c r="A278" s="18">
        <v>275</v>
      </c>
      <c r="B278" s="7">
        <f t="shared" ca="1" si="16"/>
        <v>44850.423420949075</v>
      </c>
      <c r="C278" s="8">
        <f t="shared" ca="1" si="17"/>
        <v>44850.423420949075</v>
      </c>
      <c r="D278" s="6" t="s">
        <v>294</v>
      </c>
      <c r="E278" s="6"/>
      <c r="F278" s="7">
        <f t="shared" si="18"/>
        <v>91</v>
      </c>
      <c r="G278" s="9">
        <f t="shared" ca="1" si="19"/>
        <v>-45595</v>
      </c>
      <c r="H278" s="9"/>
      <c r="I278" s="50"/>
      <c r="J278" s="50"/>
      <c r="K278" s="50"/>
      <c r="L278" s="50"/>
      <c r="M278" s="50"/>
      <c r="N278" s="50"/>
      <c r="O278" s="50"/>
      <c r="P278" s="50"/>
      <c r="Q278" s="50"/>
      <c r="R278" s="51"/>
    </row>
    <row r="279" spans="1:18" ht="18" customHeight="1" x14ac:dyDescent="0.3">
      <c r="A279" s="18">
        <v>276</v>
      </c>
      <c r="B279" s="7">
        <f t="shared" ca="1" si="16"/>
        <v>44850.423477893521</v>
      </c>
      <c r="C279" s="8">
        <f t="shared" ca="1" si="17"/>
        <v>44850.423477893521</v>
      </c>
      <c r="D279" s="6" t="s">
        <v>295</v>
      </c>
      <c r="E279" s="6"/>
      <c r="F279" s="7">
        <f t="shared" si="18"/>
        <v>91</v>
      </c>
      <c r="G279" s="9">
        <f t="shared" ca="1" si="19"/>
        <v>-45595</v>
      </c>
      <c r="H279" s="9"/>
      <c r="I279" s="50"/>
      <c r="J279" s="50"/>
      <c r="K279" s="50"/>
      <c r="L279" s="50"/>
      <c r="M279" s="50"/>
      <c r="N279" s="50"/>
      <c r="O279" s="50"/>
      <c r="P279" s="50"/>
      <c r="Q279" s="50"/>
      <c r="R279" s="51"/>
    </row>
    <row r="280" spans="1:18" ht="18" customHeight="1" x14ac:dyDescent="0.3">
      <c r="A280" s="18">
        <v>277</v>
      </c>
      <c r="B280" s="7">
        <f t="shared" ca="1" si="16"/>
        <v>44850.423546874998</v>
      </c>
      <c r="C280" s="8">
        <f t="shared" ca="1" si="17"/>
        <v>44850.423546874998</v>
      </c>
      <c r="D280" s="6" t="s">
        <v>296</v>
      </c>
      <c r="E280" s="6"/>
      <c r="F280" s="7">
        <f t="shared" si="18"/>
        <v>91</v>
      </c>
      <c r="G280" s="9">
        <f t="shared" ca="1" si="19"/>
        <v>-45595</v>
      </c>
      <c r="H280" s="9"/>
      <c r="I280" s="50"/>
      <c r="J280" s="50"/>
      <c r="K280" s="50"/>
      <c r="L280" s="50"/>
      <c r="M280" s="50"/>
      <c r="N280" s="50"/>
      <c r="O280" s="50"/>
      <c r="P280" s="50"/>
      <c r="Q280" s="50"/>
      <c r="R280" s="51"/>
    </row>
    <row r="281" spans="1:18" ht="18" customHeight="1" x14ac:dyDescent="0.3">
      <c r="A281" s="18">
        <v>278</v>
      </c>
      <c r="B281" s="7">
        <f t="shared" ca="1" si="16"/>
        <v>44850.423563194447</v>
      </c>
      <c r="C281" s="8">
        <f t="shared" ca="1" si="17"/>
        <v>44850.423563194447</v>
      </c>
      <c r="D281" s="6" t="s">
        <v>297</v>
      </c>
      <c r="E281" s="6"/>
      <c r="F281" s="7">
        <f t="shared" si="18"/>
        <v>91</v>
      </c>
      <c r="G281" s="9">
        <f t="shared" ca="1" si="19"/>
        <v>-45595</v>
      </c>
      <c r="H281" s="9"/>
      <c r="I281" s="50"/>
      <c r="J281" s="50"/>
      <c r="K281" s="50"/>
      <c r="L281" s="50"/>
      <c r="M281" s="50"/>
      <c r="N281" s="50"/>
      <c r="O281" s="50"/>
      <c r="P281" s="50"/>
      <c r="Q281" s="50"/>
      <c r="R281" s="51"/>
    </row>
    <row r="282" spans="1:18" ht="18" customHeight="1" x14ac:dyDescent="0.3">
      <c r="A282" s="18">
        <v>279</v>
      </c>
      <c r="B282" s="7">
        <f t="shared" ca="1" si="16"/>
        <v>44850.423581134259</v>
      </c>
      <c r="C282" s="8">
        <f t="shared" ca="1" si="17"/>
        <v>44850.423581134259</v>
      </c>
      <c r="D282" s="6" t="s">
        <v>298</v>
      </c>
      <c r="E282" s="6"/>
      <c r="F282" s="7">
        <f t="shared" si="18"/>
        <v>91</v>
      </c>
      <c r="G282" s="9">
        <f t="shared" ca="1" si="19"/>
        <v>-45595</v>
      </c>
      <c r="H282" s="9"/>
      <c r="I282" s="50"/>
      <c r="J282" s="50"/>
      <c r="K282" s="50"/>
      <c r="L282" s="50"/>
      <c r="M282" s="50"/>
      <c r="N282" s="50"/>
      <c r="O282" s="50"/>
      <c r="P282" s="50"/>
      <c r="Q282" s="50"/>
      <c r="R282" s="51"/>
    </row>
    <row r="283" spans="1:18" ht="18" customHeight="1" x14ac:dyDescent="0.3">
      <c r="A283" s="18">
        <v>280</v>
      </c>
      <c r="B283" s="7">
        <f t="shared" ca="1" si="16"/>
        <v>44850.423599768517</v>
      </c>
      <c r="C283" s="8">
        <f t="shared" ca="1" si="17"/>
        <v>44850.423599768517</v>
      </c>
      <c r="D283" s="6" t="s">
        <v>299</v>
      </c>
      <c r="E283" s="6"/>
      <c r="F283" s="7">
        <f t="shared" si="18"/>
        <v>91</v>
      </c>
      <c r="G283" s="9">
        <f t="shared" ca="1" si="19"/>
        <v>-45595</v>
      </c>
      <c r="H283" s="9"/>
      <c r="I283" s="50"/>
      <c r="J283" s="50"/>
      <c r="K283" s="50"/>
      <c r="L283" s="50"/>
      <c r="M283" s="50"/>
      <c r="N283" s="50"/>
      <c r="O283" s="50"/>
      <c r="P283" s="50"/>
      <c r="Q283" s="50"/>
      <c r="R283" s="51"/>
    </row>
    <row r="284" spans="1:18" ht="18" customHeight="1" x14ac:dyDescent="0.3">
      <c r="A284" s="18">
        <v>281</v>
      </c>
      <c r="B284" s="7">
        <f t="shared" ca="1" si="16"/>
        <v>44850.423616666667</v>
      </c>
      <c r="C284" s="8">
        <f t="shared" ca="1" si="17"/>
        <v>44850.423616666667</v>
      </c>
      <c r="D284" s="6" t="s">
        <v>300</v>
      </c>
      <c r="E284" s="6"/>
      <c r="F284" s="7">
        <f t="shared" si="18"/>
        <v>91</v>
      </c>
      <c r="G284" s="9">
        <f t="shared" ca="1" si="19"/>
        <v>-45595</v>
      </c>
      <c r="H284" s="9"/>
      <c r="I284" s="50"/>
      <c r="J284" s="50"/>
      <c r="K284" s="50"/>
      <c r="L284" s="50"/>
      <c r="M284" s="50"/>
      <c r="N284" s="50"/>
      <c r="O284" s="50"/>
      <c r="P284" s="50"/>
      <c r="Q284" s="50"/>
      <c r="R284" s="51"/>
    </row>
    <row r="285" spans="1:18" ht="18" customHeight="1" x14ac:dyDescent="0.3">
      <c r="A285" s="18">
        <v>282</v>
      </c>
      <c r="B285" s="7">
        <f t="shared" ca="1" si="16"/>
        <v>44850.423640277775</v>
      </c>
      <c r="C285" s="8">
        <f t="shared" ca="1" si="17"/>
        <v>44850.423640277775</v>
      </c>
      <c r="D285" s="6" t="s">
        <v>301</v>
      </c>
      <c r="E285" s="6"/>
      <c r="F285" s="7">
        <f t="shared" si="18"/>
        <v>91</v>
      </c>
      <c r="G285" s="9">
        <f t="shared" ca="1" si="19"/>
        <v>-45595</v>
      </c>
      <c r="H285" s="9"/>
      <c r="I285" s="50"/>
      <c r="J285" s="50"/>
      <c r="K285" s="50"/>
      <c r="L285" s="50"/>
      <c r="M285" s="50"/>
      <c r="N285" s="50"/>
      <c r="O285" s="50"/>
      <c r="P285" s="50"/>
      <c r="Q285" s="50"/>
      <c r="R285" s="51"/>
    </row>
    <row r="286" spans="1:18" ht="18" customHeight="1" x14ac:dyDescent="0.3">
      <c r="A286" s="18">
        <v>283</v>
      </c>
      <c r="B286" s="7">
        <f t="shared" ca="1" si="16"/>
        <v>44850.423656481478</v>
      </c>
      <c r="C286" s="8">
        <f t="shared" ca="1" si="17"/>
        <v>44850.423656481478</v>
      </c>
      <c r="D286" s="6" t="s">
        <v>302</v>
      </c>
      <c r="E286" s="6"/>
      <c r="F286" s="7">
        <f t="shared" si="18"/>
        <v>91</v>
      </c>
      <c r="G286" s="9">
        <f t="shared" ca="1" si="19"/>
        <v>-45595</v>
      </c>
      <c r="H286" s="9"/>
      <c r="I286" s="50"/>
      <c r="J286" s="50"/>
      <c r="K286" s="50"/>
      <c r="L286" s="50"/>
      <c r="M286" s="50"/>
      <c r="N286" s="50"/>
      <c r="O286" s="50"/>
      <c r="P286" s="50"/>
      <c r="Q286" s="50"/>
      <c r="R286" s="51"/>
    </row>
    <row r="287" spans="1:18" ht="18" customHeight="1" x14ac:dyDescent="0.3">
      <c r="A287" s="18">
        <v>284</v>
      </c>
      <c r="B287" s="7">
        <f t="shared" ca="1" si="16"/>
        <v>44850.423674074074</v>
      </c>
      <c r="C287" s="8">
        <f t="shared" ca="1" si="17"/>
        <v>44850.423674074074</v>
      </c>
      <c r="D287" s="6" t="s">
        <v>303</v>
      </c>
      <c r="E287" s="6"/>
      <c r="F287" s="7">
        <f t="shared" si="18"/>
        <v>91</v>
      </c>
      <c r="G287" s="9">
        <f t="shared" ca="1" si="19"/>
        <v>-45595</v>
      </c>
      <c r="H287" s="9"/>
      <c r="I287" s="50"/>
      <c r="J287" s="50"/>
      <c r="K287" s="50"/>
      <c r="L287" s="50"/>
      <c r="M287" s="50"/>
      <c r="N287" s="50"/>
      <c r="O287" s="50"/>
      <c r="P287" s="50"/>
      <c r="Q287" s="50"/>
      <c r="R287" s="51"/>
    </row>
    <row r="288" spans="1:18" ht="18" customHeight="1" x14ac:dyDescent="0.3">
      <c r="A288" s="18">
        <v>285</v>
      </c>
      <c r="B288" s="7">
        <f t="shared" ca="1" si="16"/>
        <v>44850.423690509262</v>
      </c>
      <c r="C288" s="8">
        <f t="shared" ca="1" si="17"/>
        <v>44850.423690509262</v>
      </c>
      <c r="D288" s="6" t="s">
        <v>304</v>
      </c>
      <c r="E288" s="6"/>
      <c r="F288" s="7">
        <f t="shared" si="18"/>
        <v>91</v>
      </c>
      <c r="G288" s="9">
        <f t="shared" ca="1" si="19"/>
        <v>-45595</v>
      </c>
      <c r="H288" s="9"/>
      <c r="I288" s="50"/>
      <c r="J288" s="50"/>
      <c r="K288" s="50"/>
      <c r="L288" s="50"/>
      <c r="M288" s="50"/>
      <c r="N288" s="50"/>
      <c r="O288" s="50"/>
      <c r="P288" s="50"/>
      <c r="Q288" s="50"/>
      <c r="R288" s="51"/>
    </row>
    <row r="289" spans="1:18" ht="18" customHeight="1" x14ac:dyDescent="0.3">
      <c r="A289" s="18">
        <v>286</v>
      </c>
      <c r="B289" s="7">
        <f t="shared" ca="1" si="16"/>
        <v>44850.423707870374</v>
      </c>
      <c r="C289" s="8">
        <f t="shared" ca="1" si="17"/>
        <v>44850.423707870374</v>
      </c>
      <c r="D289" s="6" t="s">
        <v>305</v>
      </c>
      <c r="E289" s="6"/>
      <c r="F289" s="7">
        <f t="shared" si="18"/>
        <v>91</v>
      </c>
      <c r="G289" s="9">
        <f t="shared" ca="1" si="19"/>
        <v>-45595</v>
      </c>
      <c r="H289" s="9"/>
      <c r="I289" s="50"/>
      <c r="J289" s="50"/>
      <c r="K289" s="50"/>
      <c r="L289" s="50"/>
      <c r="M289" s="50"/>
      <c r="N289" s="50"/>
      <c r="O289" s="50"/>
      <c r="P289" s="50"/>
      <c r="Q289" s="50"/>
      <c r="R289" s="51"/>
    </row>
    <row r="290" spans="1:18" ht="18" customHeight="1" x14ac:dyDescent="0.3">
      <c r="A290" s="18">
        <v>287</v>
      </c>
      <c r="B290" s="7">
        <f t="shared" ca="1" si="16"/>
        <v>44850.423765740743</v>
      </c>
      <c r="C290" s="8">
        <f t="shared" ca="1" si="17"/>
        <v>44850.423765740743</v>
      </c>
      <c r="D290" s="6" t="s">
        <v>306</v>
      </c>
      <c r="E290" s="6"/>
      <c r="F290" s="7">
        <f t="shared" si="18"/>
        <v>91</v>
      </c>
      <c r="G290" s="9">
        <f t="shared" ca="1" si="19"/>
        <v>-45595</v>
      </c>
      <c r="H290" s="9"/>
      <c r="I290" s="50"/>
      <c r="J290" s="50"/>
      <c r="K290" s="50"/>
      <c r="L290" s="50"/>
      <c r="M290" s="50"/>
      <c r="N290" s="50"/>
      <c r="O290" s="50"/>
      <c r="P290" s="50"/>
      <c r="Q290" s="50"/>
      <c r="R290" s="51"/>
    </row>
    <row r="291" spans="1:18" ht="18" customHeight="1" x14ac:dyDescent="0.3">
      <c r="A291" s="18">
        <v>288</v>
      </c>
      <c r="B291" s="7">
        <f t="shared" ca="1" si="16"/>
        <v>44850.423801851852</v>
      </c>
      <c r="C291" s="8">
        <f t="shared" ca="1" si="17"/>
        <v>44850.423801851852</v>
      </c>
      <c r="D291" s="6" t="s">
        <v>307</v>
      </c>
      <c r="E291" s="6"/>
      <c r="F291" s="7">
        <f t="shared" si="18"/>
        <v>91</v>
      </c>
      <c r="G291" s="9">
        <f t="shared" ca="1" si="19"/>
        <v>-45595</v>
      </c>
      <c r="H291" s="9"/>
      <c r="I291" s="50"/>
      <c r="J291" s="50"/>
      <c r="K291" s="50"/>
      <c r="L291" s="50"/>
      <c r="M291" s="50"/>
      <c r="N291" s="50"/>
      <c r="O291" s="50"/>
      <c r="P291" s="50"/>
      <c r="Q291" s="50"/>
      <c r="R291" s="51"/>
    </row>
    <row r="292" spans="1:18" ht="18" customHeight="1" x14ac:dyDescent="0.3">
      <c r="A292" s="18">
        <v>289</v>
      </c>
      <c r="B292" s="7">
        <f t="shared" ca="1" si="16"/>
        <v>44850.423817939816</v>
      </c>
      <c r="C292" s="8">
        <f t="shared" ca="1" si="17"/>
        <v>44850.423817939816</v>
      </c>
      <c r="D292" s="6" t="s">
        <v>308</v>
      </c>
      <c r="E292" s="6"/>
      <c r="F292" s="7">
        <f t="shared" si="18"/>
        <v>91</v>
      </c>
      <c r="G292" s="9">
        <f t="shared" ca="1" si="19"/>
        <v>-45595</v>
      </c>
      <c r="H292" s="9"/>
      <c r="I292" s="50"/>
      <c r="J292" s="50"/>
      <c r="K292" s="50"/>
      <c r="L292" s="50"/>
      <c r="M292" s="50"/>
      <c r="N292" s="50"/>
      <c r="O292" s="50"/>
      <c r="P292" s="50"/>
      <c r="Q292" s="50"/>
      <c r="R292" s="51"/>
    </row>
    <row r="293" spans="1:18" ht="18" customHeight="1" x14ac:dyDescent="0.3">
      <c r="A293" s="18">
        <v>290</v>
      </c>
      <c r="B293" s="7">
        <f t="shared" ca="1" si="16"/>
        <v>44850.423843171295</v>
      </c>
      <c r="C293" s="8">
        <f t="shared" ca="1" si="17"/>
        <v>44850.423843171295</v>
      </c>
      <c r="D293" s="6" t="s">
        <v>309</v>
      </c>
      <c r="E293" s="6"/>
      <c r="F293" s="7">
        <f t="shared" si="18"/>
        <v>91</v>
      </c>
      <c r="G293" s="9">
        <f t="shared" ca="1" si="19"/>
        <v>-45595</v>
      </c>
      <c r="H293" s="9"/>
      <c r="I293" s="50"/>
      <c r="J293" s="50"/>
      <c r="K293" s="50"/>
      <c r="L293" s="50"/>
      <c r="M293" s="50"/>
      <c r="N293" s="50"/>
      <c r="O293" s="50"/>
      <c r="P293" s="50"/>
      <c r="Q293" s="50"/>
      <c r="R293" s="51"/>
    </row>
    <row r="294" spans="1:18" ht="18" customHeight="1" x14ac:dyDescent="0.3">
      <c r="A294" s="18">
        <v>291</v>
      </c>
      <c r="B294" s="7">
        <f t="shared" ca="1" si="16"/>
        <v>44850.423864699071</v>
      </c>
      <c r="C294" s="8">
        <f t="shared" ca="1" si="17"/>
        <v>44850.423864699071</v>
      </c>
      <c r="D294" s="6" t="s">
        <v>310</v>
      </c>
      <c r="E294" s="6"/>
      <c r="F294" s="7">
        <f t="shared" si="18"/>
        <v>91</v>
      </c>
      <c r="G294" s="9">
        <f t="shared" ca="1" si="19"/>
        <v>-45595</v>
      </c>
      <c r="H294" s="9"/>
      <c r="I294" s="50"/>
      <c r="J294" s="50"/>
      <c r="K294" s="50"/>
      <c r="L294" s="50"/>
      <c r="M294" s="50"/>
      <c r="N294" s="50"/>
      <c r="O294" s="50"/>
      <c r="P294" s="50"/>
      <c r="Q294" s="50"/>
      <c r="R294" s="51"/>
    </row>
    <row r="295" spans="1:18" ht="18" customHeight="1" x14ac:dyDescent="0.3">
      <c r="A295" s="18">
        <v>292</v>
      </c>
      <c r="B295" s="7">
        <f t="shared" ca="1" si="16"/>
        <v>44850.42475150463</v>
      </c>
      <c r="C295" s="8">
        <f t="shared" ca="1" si="17"/>
        <v>44850.42475150463</v>
      </c>
      <c r="D295" s="6" t="s">
        <v>311</v>
      </c>
      <c r="E295" s="6"/>
      <c r="F295" s="7">
        <f t="shared" si="18"/>
        <v>91</v>
      </c>
      <c r="G295" s="9">
        <f t="shared" ca="1" si="19"/>
        <v>-45595</v>
      </c>
      <c r="H295" s="9"/>
      <c r="I295" s="50"/>
      <c r="J295" s="50"/>
      <c r="K295" s="50"/>
      <c r="L295" s="50"/>
      <c r="M295" s="50"/>
      <c r="N295" s="50"/>
      <c r="O295" s="50"/>
      <c r="P295" s="50"/>
      <c r="Q295" s="50"/>
      <c r="R295" s="51"/>
    </row>
    <row r="296" spans="1:18" ht="18" customHeight="1" x14ac:dyDescent="0.3">
      <c r="A296" s="18">
        <v>293</v>
      </c>
      <c r="B296" s="7">
        <f t="shared" ca="1" si="16"/>
        <v>44850.424769675927</v>
      </c>
      <c r="C296" s="8">
        <f t="shared" ca="1" si="17"/>
        <v>44850.424769675927</v>
      </c>
      <c r="D296" s="6" t="s">
        <v>312</v>
      </c>
      <c r="E296" s="6"/>
      <c r="F296" s="7">
        <f t="shared" si="18"/>
        <v>91</v>
      </c>
      <c r="G296" s="9">
        <f t="shared" ca="1" si="19"/>
        <v>-45595</v>
      </c>
      <c r="H296" s="9"/>
      <c r="I296" s="50"/>
      <c r="J296" s="50"/>
      <c r="K296" s="50"/>
      <c r="L296" s="50"/>
      <c r="M296" s="50"/>
      <c r="N296" s="50"/>
      <c r="O296" s="50"/>
      <c r="P296" s="50"/>
      <c r="Q296" s="50"/>
      <c r="R296" s="51"/>
    </row>
    <row r="297" spans="1:18" ht="18" customHeight="1" x14ac:dyDescent="0.3">
      <c r="A297" s="18">
        <v>294</v>
      </c>
      <c r="B297" s="7">
        <f t="shared" ca="1" si="16"/>
        <v>44850.424785763891</v>
      </c>
      <c r="C297" s="8">
        <f t="shared" ca="1" si="17"/>
        <v>44850.424785763891</v>
      </c>
      <c r="D297" s="6" t="s">
        <v>313</v>
      </c>
      <c r="E297" s="6"/>
      <c r="F297" s="7">
        <f t="shared" si="18"/>
        <v>91</v>
      </c>
      <c r="G297" s="9">
        <f t="shared" ca="1" si="19"/>
        <v>-45595</v>
      </c>
      <c r="H297" s="9"/>
      <c r="I297" s="50"/>
      <c r="J297" s="50"/>
      <c r="K297" s="50"/>
      <c r="L297" s="50"/>
      <c r="M297" s="50"/>
      <c r="N297" s="50"/>
      <c r="O297" s="50"/>
      <c r="P297" s="50"/>
      <c r="Q297" s="50"/>
      <c r="R297" s="51"/>
    </row>
    <row r="298" spans="1:18" ht="18" customHeight="1" x14ac:dyDescent="0.3">
      <c r="A298" s="18">
        <v>295</v>
      </c>
      <c r="B298" s="7">
        <f t="shared" ca="1" si="16"/>
        <v>44850.424802546295</v>
      </c>
      <c r="C298" s="8">
        <f t="shared" ca="1" si="17"/>
        <v>44850.424802546295</v>
      </c>
      <c r="D298" s="6" t="s">
        <v>314</v>
      </c>
      <c r="E298" s="6"/>
      <c r="F298" s="7">
        <f t="shared" si="18"/>
        <v>91</v>
      </c>
      <c r="G298" s="9">
        <f t="shared" ca="1" si="19"/>
        <v>-45595</v>
      </c>
      <c r="H298" s="9"/>
      <c r="I298" s="50"/>
      <c r="J298" s="50"/>
      <c r="K298" s="50"/>
      <c r="L298" s="50"/>
      <c r="M298" s="50"/>
      <c r="N298" s="50"/>
      <c r="O298" s="50"/>
      <c r="P298" s="50"/>
      <c r="Q298" s="50"/>
      <c r="R298" s="51"/>
    </row>
    <row r="299" spans="1:18" ht="18" customHeight="1" x14ac:dyDescent="0.3">
      <c r="A299" s="18">
        <v>296</v>
      </c>
      <c r="B299" s="7">
        <f t="shared" ca="1" si="16"/>
        <v>44850.424818171297</v>
      </c>
      <c r="C299" s="8">
        <f t="shared" ca="1" si="17"/>
        <v>44850.424818171297</v>
      </c>
      <c r="D299" s="6" t="s">
        <v>315</v>
      </c>
      <c r="E299" s="6"/>
      <c r="F299" s="7">
        <f t="shared" si="18"/>
        <v>91</v>
      </c>
      <c r="G299" s="9">
        <f t="shared" ca="1" si="19"/>
        <v>-45595</v>
      </c>
      <c r="H299" s="9"/>
      <c r="I299" s="50"/>
      <c r="J299" s="50"/>
      <c r="K299" s="50"/>
      <c r="L299" s="50"/>
      <c r="M299" s="50"/>
      <c r="N299" s="50"/>
      <c r="O299" s="50"/>
      <c r="P299" s="50"/>
      <c r="Q299" s="50"/>
      <c r="R299" s="51"/>
    </row>
    <row r="300" spans="1:18" ht="18" customHeight="1" x14ac:dyDescent="0.3">
      <c r="A300" s="18">
        <v>297</v>
      </c>
      <c r="B300" s="7">
        <f t="shared" ca="1" si="16"/>
        <v>44850.424833101853</v>
      </c>
      <c r="C300" s="8">
        <f t="shared" ca="1" si="17"/>
        <v>44850.424833101853</v>
      </c>
      <c r="D300" s="6" t="s">
        <v>316</v>
      </c>
      <c r="E300" s="6"/>
      <c r="F300" s="7">
        <f t="shared" si="18"/>
        <v>91</v>
      </c>
      <c r="G300" s="9">
        <f t="shared" ca="1" si="19"/>
        <v>-45595</v>
      </c>
      <c r="H300" s="9"/>
      <c r="I300" s="50"/>
      <c r="J300" s="50"/>
      <c r="K300" s="50"/>
      <c r="L300" s="50"/>
      <c r="M300" s="50"/>
      <c r="N300" s="50"/>
      <c r="O300" s="50"/>
      <c r="P300" s="50"/>
      <c r="Q300" s="50"/>
      <c r="R300" s="51"/>
    </row>
    <row r="301" spans="1:18" ht="18" customHeight="1" x14ac:dyDescent="0.3">
      <c r="A301" s="18">
        <v>298</v>
      </c>
      <c r="B301" s="7">
        <f t="shared" ca="1" si="16"/>
        <v>44850.424849768518</v>
      </c>
      <c r="C301" s="8">
        <f t="shared" ca="1" si="17"/>
        <v>44850.424849768518</v>
      </c>
      <c r="D301" s="6" t="s">
        <v>317</v>
      </c>
      <c r="E301" s="6"/>
      <c r="F301" s="7">
        <f t="shared" si="18"/>
        <v>91</v>
      </c>
      <c r="G301" s="9">
        <f t="shared" ca="1" si="19"/>
        <v>-45595</v>
      </c>
      <c r="H301" s="9"/>
      <c r="I301" s="50"/>
      <c r="J301" s="50"/>
      <c r="K301" s="50"/>
      <c r="L301" s="50"/>
      <c r="M301" s="50"/>
      <c r="N301" s="50"/>
      <c r="O301" s="50"/>
      <c r="P301" s="50"/>
      <c r="Q301" s="50"/>
      <c r="R301" s="51"/>
    </row>
    <row r="302" spans="1:18" ht="18" customHeight="1" x14ac:dyDescent="0.3">
      <c r="A302" s="18">
        <v>299</v>
      </c>
      <c r="B302" s="7">
        <f t="shared" ca="1" si="16"/>
        <v>44850.42489652778</v>
      </c>
      <c r="C302" s="8">
        <f t="shared" ca="1" si="17"/>
        <v>44850.42489652778</v>
      </c>
      <c r="D302" s="6" t="s">
        <v>318</v>
      </c>
      <c r="E302" s="6"/>
      <c r="F302" s="7">
        <f t="shared" si="18"/>
        <v>91</v>
      </c>
      <c r="G302" s="9">
        <f t="shared" ca="1" si="19"/>
        <v>-45595</v>
      </c>
      <c r="H302" s="9"/>
      <c r="I302" s="50"/>
      <c r="J302" s="50"/>
      <c r="K302" s="50"/>
      <c r="L302" s="50"/>
      <c r="M302" s="50"/>
      <c r="N302" s="50"/>
      <c r="O302" s="50"/>
      <c r="P302" s="50"/>
      <c r="Q302" s="50"/>
      <c r="R302" s="51"/>
    </row>
    <row r="303" spans="1:18" ht="18" customHeight="1" x14ac:dyDescent="0.3">
      <c r="A303" s="18">
        <v>300</v>
      </c>
      <c r="B303" s="7">
        <f t="shared" ca="1" si="16"/>
        <v>44850.424913541669</v>
      </c>
      <c r="C303" s="8">
        <f t="shared" ca="1" si="17"/>
        <v>44850.424913541669</v>
      </c>
      <c r="D303" s="6" t="s">
        <v>319</v>
      </c>
      <c r="E303" s="6"/>
      <c r="F303" s="7">
        <f t="shared" si="18"/>
        <v>91</v>
      </c>
      <c r="G303" s="9">
        <f t="shared" ca="1" si="19"/>
        <v>-45595</v>
      </c>
      <c r="H303" s="9"/>
      <c r="I303" s="50"/>
      <c r="J303" s="50"/>
      <c r="K303" s="50"/>
      <c r="L303" s="50"/>
      <c r="M303" s="50"/>
      <c r="N303" s="50"/>
      <c r="O303" s="50"/>
      <c r="P303" s="50"/>
      <c r="Q303" s="50"/>
      <c r="R303" s="51"/>
    </row>
    <row r="304" spans="1:18" ht="18" customHeight="1" x14ac:dyDescent="0.3">
      <c r="A304" s="18">
        <v>301</v>
      </c>
      <c r="B304" s="7">
        <f t="shared" ca="1" si="16"/>
        <v>44850.424928587963</v>
      </c>
      <c r="C304" s="8">
        <f t="shared" ca="1" si="17"/>
        <v>44850.424928587963</v>
      </c>
      <c r="D304" s="6" t="s">
        <v>320</v>
      </c>
      <c r="E304" s="6"/>
      <c r="F304" s="7">
        <f t="shared" si="18"/>
        <v>91</v>
      </c>
      <c r="G304" s="9">
        <f t="shared" ca="1" si="19"/>
        <v>-45595</v>
      </c>
      <c r="H304" s="9"/>
      <c r="I304" s="50"/>
      <c r="J304" s="50"/>
      <c r="K304" s="50"/>
      <c r="L304" s="50"/>
      <c r="M304" s="50"/>
      <c r="N304" s="50"/>
      <c r="O304" s="50"/>
      <c r="P304" s="50"/>
      <c r="Q304" s="50"/>
      <c r="R304" s="51"/>
    </row>
    <row r="305" spans="1:18" ht="18" customHeight="1" x14ac:dyDescent="0.3">
      <c r="A305" s="18">
        <v>302</v>
      </c>
      <c r="B305" s="7">
        <f t="shared" ca="1" si="16"/>
        <v>44850.424944212966</v>
      </c>
      <c r="C305" s="8">
        <f t="shared" ca="1" si="17"/>
        <v>44850.424944212966</v>
      </c>
      <c r="D305" s="6" t="s">
        <v>321</v>
      </c>
      <c r="E305" s="6"/>
      <c r="F305" s="7">
        <f t="shared" si="18"/>
        <v>91</v>
      </c>
      <c r="G305" s="9">
        <f t="shared" ca="1" si="19"/>
        <v>-45595</v>
      </c>
      <c r="H305" s="9"/>
      <c r="I305" s="50"/>
      <c r="J305" s="50"/>
      <c r="K305" s="50"/>
      <c r="L305" s="50"/>
      <c r="M305" s="50"/>
      <c r="N305" s="50"/>
      <c r="O305" s="50"/>
      <c r="P305" s="50"/>
      <c r="Q305" s="50"/>
      <c r="R305" s="51"/>
    </row>
    <row r="306" spans="1:18" ht="18" customHeight="1" x14ac:dyDescent="0.3">
      <c r="A306" s="18">
        <v>303</v>
      </c>
      <c r="B306" s="7">
        <f t="shared" ca="1" si="16"/>
        <v>44850.424958912037</v>
      </c>
      <c r="C306" s="8">
        <f t="shared" ca="1" si="17"/>
        <v>44850.424958912037</v>
      </c>
      <c r="D306" s="6" t="s">
        <v>322</v>
      </c>
      <c r="E306" s="6"/>
      <c r="F306" s="7">
        <f t="shared" si="18"/>
        <v>91</v>
      </c>
      <c r="G306" s="9">
        <f t="shared" ca="1" si="19"/>
        <v>-45595</v>
      </c>
      <c r="H306" s="9"/>
      <c r="I306" s="50"/>
      <c r="J306" s="50"/>
      <c r="K306" s="50"/>
      <c r="L306" s="50"/>
      <c r="M306" s="50"/>
      <c r="N306" s="50"/>
      <c r="O306" s="50"/>
      <c r="P306" s="50"/>
      <c r="Q306" s="50"/>
      <c r="R306" s="51"/>
    </row>
    <row r="307" spans="1:18" ht="18" customHeight="1" x14ac:dyDescent="0.3">
      <c r="A307" s="18">
        <v>304</v>
      </c>
      <c r="B307" s="7">
        <f t="shared" ca="1" si="16"/>
        <v>44850.42497511574</v>
      </c>
      <c r="C307" s="8">
        <f t="shared" ca="1" si="17"/>
        <v>44850.42497511574</v>
      </c>
      <c r="D307" s="6" t="s">
        <v>323</v>
      </c>
      <c r="E307" s="6"/>
      <c r="F307" s="7">
        <f t="shared" si="18"/>
        <v>91</v>
      </c>
      <c r="G307" s="9">
        <f t="shared" ca="1" si="19"/>
        <v>-45595</v>
      </c>
      <c r="H307" s="9"/>
      <c r="I307" s="50"/>
      <c r="J307" s="50"/>
      <c r="K307" s="50"/>
      <c r="L307" s="50"/>
      <c r="M307" s="50"/>
      <c r="N307" s="50"/>
      <c r="O307" s="50"/>
      <c r="P307" s="50"/>
      <c r="Q307" s="50"/>
      <c r="R307" s="51"/>
    </row>
    <row r="308" spans="1:18" ht="18" customHeight="1" x14ac:dyDescent="0.3">
      <c r="A308" s="18">
        <v>305</v>
      </c>
      <c r="B308" s="7">
        <f t="shared" ca="1" si="16"/>
        <v>44850.424988888888</v>
      </c>
      <c r="C308" s="8">
        <f t="shared" ca="1" si="17"/>
        <v>44850.424988888888</v>
      </c>
      <c r="D308" s="6" t="s">
        <v>324</v>
      </c>
      <c r="E308" s="6"/>
      <c r="F308" s="7">
        <f t="shared" si="18"/>
        <v>91</v>
      </c>
      <c r="G308" s="9">
        <f t="shared" ca="1" si="19"/>
        <v>-45595</v>
      </c>
      <c r="H308" s="9"/>
      <c r="I308" s="50"/>
      <c r="J308" s="50"/>
      <c r="K308" s="50"/>
      <c r="L308" s="50"/>
      <c r="M308" s="50"/>
      <c r="N308" s="50"/>
      <c r="O308" s="50"/>
      <c r="P308" s="50"/>
      <c r="Q308" s="50"/>
      <c r="R308" s="51"/>
    </row>
    <row r="309" spans="1:18" ht="18" customHeight="1" x14ac:dyDescent="0.3">
      <c r="A309" s="18">
        <v>306</v>
      </c>
      <c r="B309" s="7">
        <f t="shared" ca="1" si="16"/>
        <v>44850.425004861114</v>
      </c>
      <c r="C309" s="8">
        <f t="shared" ca="1" si="17"/>
        <v>44850.425004861114</v>
      </c>
      <c r="D309" s="6" t="s">
        <v>325</v>
      </c>
      <c r="E309" s="6"/>
      <c r="F309" s="7">
        <f t="shared" si="18"/>
        <v>91</v>
      </c>
      <c r="G309" s="9">
        <f t="shared" ca="1" si="19"/>
        <v>-45595</v>
      </c>
      <c r="H309" s="9"/>
      <c r="I309" s="50"/>
      <c r="J309" s="50"/>
      <c r="K309" s="50"/>
      <c r="L309" s="50"/>
      <c r="M309" s="50"/>
      <c r="N309" s="50"/>
      <c r="O309" s="50"/>
      <c r="P309" s="50"/>
      <c r="Q309" s="50"/>
      <c r="R309" s="51"/>
    </row>
    <row r="310" spans="1:18" ht="18" customHeight="1" x14ac:dyDescent="0.3">
      <c r="A310" s="18">
        <v>307</v>
      </c>
      <c r="B310" s="7">
        <f t="shared" ca="1" si="16"/>
        <v>44850.425019560185</v>
      </c>
      <c r="C310" s="8">
        <f t="shared" ca="1" si="17"/>
        <v>44850.425019560185</v>
      </c>
      <c r="D310" s="6" t="s">
        <v>326</v>
      </c>
      <c r="E310" s="6"/>
      <c r="F310" s="7">
        <f t="shared" si="18"/>
        <v>91</v>
      </c>
      <c r="G310" s="9">
        <f t="shared" ca="1" si="19"/>
        <v>-45595</v>
      </c>
      <c r="H310" s="9"/>
      <c r="I310" s="50"/>
      <c r="J310" s="50"/>
      <c r="K310" s="50"/>
      <c r="L310" s="50"/>
      <c r="M310" s="50"/>
      <c r="N310" s="50"/>
      <c r="O310" s="50"/>
      <c r="P310" s="50"/>
      <c r="Q310" s="50"/>
      <c r="R310" s="51"/>
    </row>
    <row r="311" spans="1:18" ht="18" customHeight="1" x14ac:dyDescent="0.3">
      <c r="A311" s="18">
        <v>308</v>
      </c>
      <c r="B311" s="7">
        <f t="shared" ca="1" si="16"/>
        <v>44850.425034375003</v>
      </c>
      <c r="C311" s="8">
        <f t="shared" ca="1" si="17"/>
        <v>44850.425034375003</v>
      </c>
      <c r="D311" s="6" t="s">
        <v>327</v>
      </c>
      <c r="E311" s="6"/>
      <c r="F311" s="7">
        <f t="shared" si="18"/>
        <v>91</v>
      </c>
      <c r="G311" s="9">
        <f t="shared" ca="1" si="19"/>
        <v>-45595</v>
      </c>
      <c r="H311" s="9"/>
      <c r="I311" s="50"/>
      <c r="J311" s="50"/>
      <c r="K311" s="50"/>
      <c r="L311" s="50"/>
      <c r="M311" s="50"/>
      <c r="N311" s="50"/>
      <c r="O311" s="50"/>
      <c r="P311" s="50"/>
      <c r="Q311" s="50"/>
      <c r="R311" s="51"/>
    </row>
    <row r="312" spans="1:18" ht="18" customHeight="1" x14ac:dyDescent="0.3">
      <c r="A312" s="18">
        <v>309</v>
      </c>
      <c r="B312" s="7">
        <f t="shared" ca="1" si="16"/>
        <v>44850.425049884259</v>
      </c>
      <c r="C312" s="8">
        <f t="shared" ca="1" si="17"/>
        <v>44850.425049884259</v>
      </c>
      <c r="D312" s="6" t="s">
        <v>328</v>
      </c>
      <c r="E312" s="6"/>
      <c r="F312" s="7">
        <f t="shared" si="18"/>
        <v>91</v>
      </c>
      <c r="G312" s="9">
        <f t="shared" ca="1" si="19"/>
        <v>-45595</v>
      </c>
      <c r="H312" s="9"/>
      <c r="I312" s="50"/>
      <c r="J312" s="50"/>
      <c r="K312" s="50"/>
      <c r="L312" s="50"/>
      <c r="M312" s="50"/>
      <c r="N312" s="50"/>
      <c r="O312" s="50"/>
      <c r="P312" s="50"/>
      <c r="Q312" s="50"/>
      <c r="R312" s="51"/>
    </row>
    <row r="313" spans="1:18" ht="18" customHeight="1" x14ac:dyDescent="0.3">
      <c r="A313" s="18">
        <v>310</v>
      </c>
      <c r="B313" s="7">
        <f t="shared" ca="1" si="16"/>
        <v>44850.425067245371</v>
      </c>
      <c r="C313" s="8">
        <f t="shared" ca="1" si="17"/>
        <v>44850.425067245371</v>
      </c>
      <c r="D313" s="6" t="s">
        <v>329</v>
      </c>
      <c r="E313" s="6"/>
      <c r="F313" s="7">
        <f t="shared" si="18"/>
        <v>91</v>
      </c>
      <c r="G313" s="9">
        <f t="shared" ca="1" si="19"/>
        <v>-45595</v>
      </c>
      <c r="H313" s="9"/>
      <c r="I313" s="50"/>
      <c r="J313" s="50"/>
      <c r="K313" s="50"/>
      <c r="L313" s="50"/>
      <c r="M313" s="50"/>
      <c r="N313" s="50"/>
      <c r="O313" s="50"/>
      <c r="P313" s="50"/>
      <c r="Q313" s="50"/>
      <c r="R313" s="51"/>
    </row>
    <row r="314" spans="1:18" ht="18" customHeight="1" x14ac:dyDescent="0.3">
      <c r="A314" s="18">
        <v>311</v>
      </c>
      <c r="B314" s="7">
        <f t="shared" ca="1" si="16"/>
        <v>44850.425085069444</v>
      </c>
      <c r="C314" s="8">
        <f t="shared" ca="1" si="17"/>
        <v>44850.425085069444</v>
      </c>
      <c r="D314" s="6" t="s">
        <v>330</v>
      </c>
      <c r="E314" s="6"/>
      <c r="F314" s="7">
        <f t="shared" si="18"/>
        <v>91</v>
      </c>
      <c r="G314" s="9">
        <f t="shared" ca="1" si="19"/>
        <v>-45595</v>
      </c>
      <c r="H314" s="9"/>
      <c r="I314" s="50"/>
      <c r="J314" s="50"/>
      <c r="K314" s="50"/>
      <c r="L314" s="50"/>
      <c r="M314" s="50"/>
      <c r="N314" s="50"/>
      <c r="O314" s="50"/>
      <c r="P314" s="50"/>
      <c r="Q314" s="50"/>
      <c r="R314" s="51"/>
    </row>
    <row r="315" spans="1:18" ht="18" customHeight="1" x14ac:dyDescent="0.3">
      <c r="A315" s="18">
        <v>312</v>
      </c>
      <c r="B315" s="7">
        <f t="shared" ca="1" si="16"/>
        <v>44850.425100694447</v>
      </c>
      <c r="C315" s="8">
        <f t="shared" ca="1" si="17"/>
        <v>44850.425100694447</v>
      </c>
      <c r="D315" s="6" t="s">
        <v>331</v>
      </c>
      <c r="E315" s="6"/>
      <c r="F315" s="7">
        <f t="shared" si="18"/>
        <v>91</v>
      </c>
      <c r="G315" s="9">
        <f t="shared" ca="1" si="19"/>
        <v>-45595</v>
      </c>
      <c r="H315" s="9"/>
      <c r="I315" s="50"/>
      <c r="J315" s="50"/>
      <c r="K315" s="50"/>
      <c r="L315" s="50"/>
      <c r="M315" s="50"/>
      <c r="N315" s="50"/>
      <c r="O315" s="50"/>
      <c r="P315" s="50"/>
      <c r="Q315" s="50"/>
      <c r="R315" s="51"/>
    </row>
    <row r="316" spans="1:18" ht="18" customHeight="1" x14ac:dyDescent="0.3">
      <c r="A316" s="18">
        <v>313</v>
      </c>
      <c r="B316" s="7">
        <f t="shared" ca="1" si="16"/>
        <v>44850.425115740742</v>
      </c>
      <c r="C316" s="8">
        <f t="shared" ca="1" si="17"/>
        <v>44850.425115740742</v>
      </c>
      <c r="D316" s="6" t="s">
        <v>332</v>
      </c>
      <c r="E316" s="6"/>
      <c r="F316" s="7">
        <f t="shared" si="18"/>
        <v>91</v>
      </c>
      <c r="G316" s="9">
        <f t="shared" ca="1" si="19"/>
        <v>-45595</v>
      </c>
      <c r="H316" s="9"/>
      <c r="I316" s="50"/>
      <c r="J316" s="50"/>
      <c r="K316" s="50"/>
      <c r="L316" s="50"/>
      <c r="M316" s="50"/>
      <c r="N316" s="50"/>
      <c r="O316" s="50"/>
      <c r="P316" s="50"/>
      <c r="Q316" s="50"/>
      <c r="R316" s="51"/>
    </row>
    <row r="317" spans="1:18" ht="18" customHeight="1" x14ac:dyDescent="0.3">
      <c r="A317" s="18">
        <v>314</v>
      </c>
      <c r="B317" s="7">
        <f t="shared" ca="1" si="16"/>
        <v>44850.425134490739</v>
      </c>
      <c r="C317" s="8">
        <f t="shared" ca="1" si="17"/>
        <v>44850.425134490739</v>
      </c>
      <c r="D317" s="6" t="s">
        <v>333</v>
      </c>
      <c r="E317" s="6"/>
      <c r="F317" s="7">
        <f t="shared" si="18"/>
        <v>91</v>
      </c>
      <c r="G317" s="9">
        <f t="shared" ca="1" si="19"/>
        <v>-45595</v>
      </c>
      <c r="H317" s="9"/>
      <c r="I317" s="50"/>
      <c r="J317" s="50"/>
      <c r="K317" s="50"/>
      <c r="L317" s="50"/>
      <c r="M317" s="50"/>
      <c r="N317" s="50"/>
      <c r="O317" s="50"/>
      <c r="P317" s="50"/>
      <c r="Q317" s="50"/>
      <c r="R317" s="51"/>
    </row>
    <row r="318" spans="1:18" ht="18" customHeight="1" x14ac:dyDescent="0.3">
      <c r="A318" s="18">
        <v>315</v>
      </c>
      <c r="B318" s="7">
        <f t="shared" ca="1" si="16"/>
        <v>44850.425332986109</v>
      </c>
      <c r="C318" s="8">
        <f t="shared" ca="1" si="17"/>
        <v>44850.425332986109</v>
      </c>
      <c r="D318" s="6" t="s">
        <v>334</v>
      </c>
      <c r="E318" s="6"/>
      <c r="F318" s="7">
        <f t="shared" si="18"/>
        <v>91</v>
      </c>
      <c r="G318" s="9">
        <f t="shared" ca="1" si="19"/>
        <v>-45595</v>
      </c>
      <c r="H318" s="9"/>
      <c r="I318" s="50"/>
      <c r="J318" s="50"/>
      <c r="K318" s="50"/>
      <c r="L318" s="50"/>
      <c r="M318" s="50"/>
      <c r="N318" s="50"/>
      <c r="O318" s="50"/>
      <c r="P318" s="50"/>
      <c r="Q318" s="50"/>
      <c r="R318" s="51"/>
    </row>
    <row r="319" spans="1:18" ht="18" customHeight="1" x14ac:dyDescent="0.3">
      <c r="A319" s="18">
        <v>316</v>
      </c>
      <c r="B319" s="7">
        <f t="shared" ca="1" si="16"/>
        <v>44850.425372337966</v>
      </c>
      <c r="C319" s="8">
        <f t="shared" ca="1" si="17"/>
        <v>44850.425372337966</v>
      </c>
      <c r="D319" s="6" t="s">
        <v>335</v>
      </c>
      <c r="E319" s="6"/>
      <c r="F319" s="7">
        <f t="shared" si="18"/>
        <v>91</v>
      </c>
      <c r="G319" s="9">
        <f t="shared" ca="1" si="19"/>
        <v>-45595</v>
      </c>
      <c r="H319" s="9"/>
      <c r="I319" s="50"/>
      <c r="J319" s="50"/>
      <c r="K319" s="50"/>
      <c r="L319" s="50"/>
      <c r="M319" s="50"/>
      <c r="N319" s="50"/>
      <c r="O319" s="50"/>
      <c r="P319" s="50"/>
      <c r="Q319" s="50"/>
      <c r="R319" s="51"/>
    </row>
    <row r="320" spans="1:18" ht="18" customHeight="1" x14ac:dyDescent="0.3">
      <c r="A320" s="18">
        <v>317</v>
      </c>
      <c r="B320" s="7">
        <f t="shared" ca="1" si="16"/>
        <v>44850.425408680552</v>
      </c>
      <c r="C320" s="8">
        <f t="shared" ca="1" si="17"/>
        <v>44850.425408680552</v>
      </c>
      <c r="D320" s="6" t="s">
        <v>336</v>
      </c>
      <c r="E320" s="6"/>
      <c r="F320" s="7">
        <f t="shared" si="18"/>
        <v>91</v>
      </c>
      <c r="G320" s="9">
        <f t="shared" ca="1" si="19"/>
        <v>-45595</v>
      </c>
      <c r="H320" s="9"/>
      <c r="I320" s="50"/>
      <c r="J320" s="50"/>
      <c r="K320" s="50"/>
      <c r="L320" s="50"/>
      <c r="M320" s="50"/>
      <c r="N320" s="50"/>
      <c r="O320" s="50"/>
      <c r="P320" s="50"/>
      <c r="Q320" s="50"/>
      <c r="R320" s="51"/>
    </row>
    <row r="321" spans="1:18" ht="18" customHeight="1" x14ac:dyDescent="0.3">
      <c r="A321" s="18">
        <v>318</v>
      </c>
      <c r="B321" s="7">
        <f t="shared" ca="1" si="16"/>
        <v>44850.425428935188</v>
      </c>
      <c r="C321" s="8">
        <f t="shared" ca="1" si="17"/>
        <v>44850.425428935188</v>
      </c>
      <c r="D321" s="6" t="s">
        <v>337</v>
      </c>
      <c r="E321" s="6"/>
      <c r="F321" s="7">
        <f t="shared" si="18"/>
        <v>91</v>
      </c>
      <c r="G321" s="9">
        <f t="shared" ca="1" si="19"/>
        <v>-45595</v>
      </c>
      <c r="H321" s="9"/>
      <c r="I321" s="50"/>
      <c r="J321" s="50"/>
      <c r="K321" s="50"/>
      <c r="L321" s="50"/>
      <c r="M321" s="50"/>
      <c r="N321" s="50"/>
      <c r="O321" s="50"/>
      <c r="P321" s="50"/>
      <c r="Q321" s="50"/>
      <c r="R321" s="51"/>
    </row>
    <row r="322" spans="1:18" ht="18" customHeight="1" x14ac:dyDescent="0.3">
      <c r="A322" s="18">
        <v>319</v>
      </c>
      <c r="B322" s="7">
        <f t="shared" ca="1" si="16"/>
        <v>44850.425445486107</v>
      </c>
      <c r="C322" s="8">
        <f t="shared" ca="1" si="17"/>
        <v>44850.425445486107</v>
      </c>
      <c r="D322" s="6" t="s">
        <v>15</v>
      </c>
      <c r="E322" s="6"/>
      <c r="F322" s="7">
        <f t="shared" si="18"/>
        <v>91</v>
      </c>
      <c r="G322" s="9">
        <f t="shared" ca="1" si="19"/>
        <v>-45595</v>
      </c>
      <c r="H322" s="9"/>
      <c r="I322" s="50"/>
      <c r="J322" s="50"/>
      <c r="K322" s="50"/>
      <c r="L322" s="50"/>
      <c r="M322" s="50"/>
      <c r="N322" s="50"/>
      <c r="O322" s="50"/>
      <c r="P322" s="50"/>
      <c r="Q322" s="50"/>
      <c r="R322" s="51"/>
    </row>
    <row r="323" spans="1:18" ht="18" customHeight="1" x14ac:dyDescent="0.3">
      <c r="A323" s="18">
        <v>320</v>
      </c>
      <c r="B323" s="7">
        <f t="shared" ca="1" si="16"/>
        <v>44850.425462500003</v>
      </c>
      <c r="C323" s="8">
        <f t="shared" ca="1" si="17"/>
        <v>44850.425462500003</v>
      </c>
      <c r="D323" s="6" t="s">
        <v>338</v>
      </c>
      <c r="E323" s="6"/>
      <c r="F323" s="7">
        <f t="shared" si="18"/>
        <v>91</v>
      </c>
      <c r="G323" s="9">
        <f t="shared" ca="1" si="19"/>
        <v>-45595</v>
      </c>
      <c r="H323" s="9"/>
      <c r="I323" s="50"/>
      <c r="J323" s="50"/>
      <c r="K323" s="50"/>
      <c r="L323" s="50"/>
      <c r="M323" s="50"/>
      <c r="N323" s="50"/>
      <c r="O323" s="50"/>
      <c r="P323" s="50"/>
      <c r="Q323" s="50"/>
      <c r="R323" s="51"/>
    </row>
    <row r="324" spans="1:18" ht="18" customHeight="1" x14ac:dyDescent="0.3">
      <c r="A324" s="18">
        <v>321</v>
      </c>
      <c r="B324" s="7">
        <f t="shared" ref="B324:B382" ca="1" si="20">IF(D324 &lt;&gt;"", IF(B324 ="", NOW(), B324), "")</f>
        <v>44850.425478472222</v>
      </c>
      <c r="C324" s="8">
        <f t="shared" ref="C324:C382" ca="1" si="21">IF(D324 &lt;&gt;"", IF(C324 ="", NOW(), C324), "")</f>
        <v>44850.425478472222</v>
      </c>
      <c r="D324" s="6" t="s">
        <v>339</v>
      </c>
      <c r="E324" s="6"/>
      <c r="F324" s="7">
        <f t="shared" ref="F324:F382" si="22">EDATE(E324,3)-0</f>
        <v>91</v>
      </c>
      <c r="G324" s="9">
        <f t="shared" ref="G324:G382" ca="1" si="23">E324-TODAY()</f>
        <v>-45595</v>
      </c>
      <c r="H324" s="9"/>
      <c r="I324" s="50"/>
      <c r="J324" s="50"/>
      <c r="K324" s="50"/>
      <c r="L324" s="50"/>
      <c r="M324" s="50"/>
      <c r="N324" s="50"/>
      <c r="O324" s="50"/>
      <c r="P324" s="50"/>
      <c r="Q324" s="50"/>
      <c r="R324" s="51"/>
    </row>
    <row r="325" spans="1:18" ht="18" customHeight="1" x14ac:dyDescent="0.3">
      <c r="A325" s="18">
        <v>322</v>
      </c>
      <c r="B325" s="7">
        <f t="shared" ca="1" si="20"/>
        <v>44850.425526388892</v>
      </c>
      <c r="C325" s="8">
        <f t="shared" ca="1" si="21"/>
        <v>44850.425526388892</v>
      </c>
      <c r="D325" s="6" t="s">
        <v>340</v>
      </c>
      <c r="E325" s="6"/>
      <c r="F325" s="7">
        <f t="shared" si="22"/>
        <v>91</v>
      </c>
      <c r="G325" s="9">
        <f t="shared" ca="1" si="23"/>
        <v>-45595</v>
      </c>
      <c r="H325" s="9"/>
      <c r="I325" s="50"/>
      <c r="J325" s="50"/>
      <c r="K325" s="50"/>
      <c r="L325" s="50"/>
      <c r="M325" s="50"/>
      <c r="N325" s="50"/>
      <c r="O325" s="50"/>
      <c r="P325" s="50"/>
      <c r="Q325" s="50"/>
      <c r="R325" s="51"/>
    </row>
    <row r="326" spans="1:18" ht="18" customHeight="1" x14ac:dyDescent="0.3">
      <c r="A326" s="18">
        <v>323</v>
      </c>
      <c r="B326" s="7">
        <f t="shared" ca="1" si="20"/>
        <v>44850.425546759259</v>
      </c>
      <c r="C326" s="8">
        <f t="shared" ca="1" si="21"/>
        <v>44850.425546759259</v>
      </c>
      <c r="D326" s="6" t="s">
        <v>341</v>
      </c>
      <c r="E326" s="6"/>
      <c r="F326" s="7">
        <f t="shared" si="22"/>
        <v>91</v>
      </c>
      <c r="G326" s="9">
        <f t="shared" ca="1" si="23"/>
        <v>-45595</v>
      </c>
      <c r="H326" s="9"/>
      <c r="I326" s="50"/>
      <c r="J326" s="50"/>
      <c r="K326" s="50"/>
      <c r="L326" s="50"/>
      <c r="M326" s="50"/>
      <c r="N326" s="50"/>
      <c r="O326" s="50"/>
      <c r="P326" s="50"/>
      <c r="Q326" s="50"/>
      <c r="R326" s="51"/>
    </row>
    <row r="327" spans="1:18" ht="18" customHeight="1" x14ac:dyDescent="0.3">
      <c r="A327" s="18">
        <v>324</v>
      </c>
      <c r="B327" s="7">
        <f t="shared" ca="1" si="20"/>
        <v>44850.425564699071</v>
      </c>
      <c r="C327" s="8">
        <f t="shared" ca="1" si="21"/>
        <v>44850.425564699071</v>
      </c>
      <c r="D327" s="6" t="s">
        <v>342</v>
      </c>
      <c r="E327" s="6"/>
      <c r="F327" s="7">
        <f t="shared" si="22"/>
        <v>91</v>
      </c>
      <c r="G327" s="9">
        <f t="shared" ca="1" si="23"/>
        <v>-45595</v>
      </c>
      <c r="H327" s="9"/>
      <c r="I327" s="50"/>
      <c r="J327" s="50"/>
      <c r="K327" s="50"/>
      <c r="L327" s="50"/>
      <c r="M327" s="50"/>
      <c r="N327" s="50"/>
      <c r="O327" s="50"/>
      <c r="P327" s="50"/>
      <c r="Q327" s="50"/>
      <c r="R327" s="51"/>
    </row>
    <row r="328" spans="1:18" ht="18" customHeight="1" x14ac:dyDescent="0.3">
      <c r="A328" s="18">
        <v>325</v>
      </c>
      <c r="B328" s="7">
        <f t="shared" ca="1" si="20"/>
        <v>44850.425583217591</v>
      </c>
      <c r="C328" s="8">
        <f t="shared" ca="1" si="21"/>
        <v>44850.425583217591</v>
      </c>
      <c r="D328" s="6" t="s">
        <v>343</v>
      </c>
      <c r="E328" s="6"/>
      <c r="F328" s="7">
        <f t="shared" si="22"/>
        <v>91</v>
      </c>
      <c r="G328" s="9">
        <f t="shared" ca="1" si="23"/>
        <v>-45595</v>
      </c>
      <c r="H328" s="9"/>
      <c r="I328" s="50"/>
      <c r="J328" s="50"/>
      <c r="K328" s="50"/>
      <c r="L328" s="50"/>
      <c r="M328" s="50"/>
      <c r="N328" s="50"/>
      <c r="O328" s="50"/>
      <c r="P328" s="50"/>
      <c r="Q328" s="50"/>
      <c r="R328" s="51"/>
    </row>
    <row r="329" spans="1:18" ht="18" customHeight="1" x14ac:dyDescent="0.3">
      <c r="A329" s="18">
        <v>326</v>
      </c>
      <c r="B329" s="7">
        <f t="shared" ca="1" si="20"/>
        <v>44850.425600000002</v>
      </c>
      <c r="C329" s="8">
        <f t="shared" ca="1" si="21"/>
        <v>44850.425600000002</v>
      </c>
      <c r="D329" s="6" t="s">
        <v>344</v>
      </c>
      <c r="E329" s="6"/>
      <c r="F329" s="7">
        <f t="shared" si="22"/>
        <v>91</v>
      </c>
      <c r="G329" s="9">
        <f t="shared" ca="1" si="23"/>
        <v>-45595</v>
      </c>
      <c r="H329" s="9"/>
      <c r="I329" s="50"/>
      <c r="J329" s="50"/>
      <c r="K329" s="50"/>
      <c r="L329" s="50"/>
      <c r="M329" s="50"/>
      <c r="N329" s="50"/>
      <c r="O329" s="50"/>
      <c r="P329" s="50"/>
      <c r="Q329" s="50"/>
      <c r="R329" s="51"/>
    </row>
    <row r="330" spans="1:18" ht="18" customHeight="1" x14ac:dyDescent="0.3">
      <c r="A330" s="18">
        <v>327</v>
      </c>
      <c r="B330" s="7">
        <f t="shared" ca="1" si="20"/>
        <v>44850.425616203705</v>
      </c>
      <c r="C330" s="8">
        <f t="shared" ca="1" si="21"/>
        <v>44850.425616203705</v>
      </c>
      <c r="D330" s="6" t="s">
        <v>345</v>
      </c>
      <c r="E330" s="6"/>
      <c r="F330" s="7">
        <f t="shared" si="22"/>
        <v>91</v>
      </c>
      <c r="G330" s="9">
        <f t="shared" ca="1" si="23"/>
        <v>-45595</v>
      </c>
      <c r="H330" s="9"/>
      <c r="I330" s="50"/>
      <c r="J330" s="50"/>
      <c r="K330" s="50"/>
      <c r="L330" s="50"/>
      <c r="M330" s="50"/>
      <c r="N330" s="50"/>
      <c r="O330" s="50"/>
      <c r="P330" s="50"/>
      <c r="Q330" s="50"/>
      <c r="R330" s="51"/>
    </row>
    <row r="331" spans="1:18" ht="18" customHeight="1" x14ac:dyDescent="0.3">
      <c r="A331" s="18">
        <v>328</v>
      </c>
      <c r="B331" s="7">
        <f t="shared" ca="1" si="20"/>
        <v>44850.425632986109</v>
      </c>
      <c r="C331" s="8">
        <f t="shared" ca="1" si="21"/>
        <v>44850.425632986109</v>
      </c>
      <c r="D331" s="6" t="s">
        <v>346</v>
      </c>
      <c r="E331" s="6"/>
      <c r="F331" s="7">
        <f t="shared" si="22"/>
        <v>91</v>
      </c>
      <c r="G331" s="9">
        <f t="shared" ca="1" si="23"/>
        <v>-45595</v>
      </c>
      <c r="H331" s="9"/>
      <c r="I331" s="50"/>
      <c r="J331" s="50"/>
      <c r="K331" s="50"/>
      <c r="L331" s="50"/>
      <c r="M331" s="50"/>
      <c r="N331" s="50"/>
      <c r="O331" s="50"/>
      <c r="P331" s="50"/>
      <c r="Q331" s="50"/>
      <c r="R331" s="51"/>
    </row>
    <row r="332" spans="1:18" ht="18" customHeight="1" x14ac:dyDescent="0.3">
      <c r="A332" s="18">
        <v>329</v>
      </c>
      <c r="B332" s="7">
        <f t="shared" ca="1" si="20"/>
        <v>44850.425669560187</v>
      </c>
      <c r="C332" s="8">
        <f t="shared" ca="1" si="21"/>
        <v>44850.425669560187</v>
      </c>
      <c r="D332" s="6" t="s">
        <v>347</v>
      </c>
      <c r="E332" s="6"/>
      <c r="F332" s="7">
        <f t="shared" si="22"/>
        <v>91</v>
      </c>
      <c r="G332" s="9">
        <f t="shared" ca="1" si="23"/>
        <v>-45595</v>
      </c>
      <c r="H332" s="9"/>
      <c r="I332" s="50"/>
      <c r="J332" s="50"/>
      <c r="K332" s="50"/>
      <c r="L332" s="50"/>
      <c r="M332" s="50"/>
      <c r="N332" s="50"/>
      <c r="O332" s="50"/>
      <c r="P332" s="50"/>
      <c r="Q332" s="50"/>
      <c r="R332" s="51"/>
    </row>
    <row r="333" spans="1:18" ht="18" customHeight="1" x14ac:dyDescent="0.3">
      <c r="A333" s="18">
        <v>330</v>
      </c>
      <c r="B333" s="7">
        <f t="shared" ca="1" si="20"/>
        <v>44850.425708333336</v>
      </c>
      <c r="C333" s="8">
        <f t="shared" ca="1" si="21"/>
        <v>44850.425708333336</v>
      </c>
      <c r="D333" s="6" t="s">
        <v>348</v>
      </c>
      <c r="E333" s="6"/>
      <c r="F333" s="7">
        <f t="shared" si="22"/>
        <v>91</v>
      </c>
      <c r="G333" s="9">
        <f t="shared" ca="1" si="23"/>
        <v>-45595</v>
      </c>
      <c r="H333" s="9"/>
      <c r="I333" s="50"/>
      <c r="J333" s="50"/>
      <c r="K333" s="50"/>
      <c r="L333" s="50"/>
      <c r="M333" s="50"/>
      <c r="N333" s="50"/>
      <c r="O333" s="50"/>
      <c r="P333" s="50"/>
      <c r="Q333" s="50"/>
      <c r="R333" s="51"/>
    </row>
    <row r="334" spans="1:18" ht="18" customHeight="1" x14ac:dyDescent="0.3">
      <c r="A334" s="18">
        <v>331</v>
      </c>
      <c r="B334" s="7">
        <f t="shared" ca="1" si="20"/>
        <v>44850.425732407406</v>
      </c>
      <c r="C334" s="8">
        <f t="shared" ca="1" si="21"/>
        <v>44850.425732407406</v>
      </c>
      <c r="D334" s="6" t="s">
        <v>349</v>
      </c>
      <c r="E334" s="6"/>
      <c r="F334" s="7">
        <f t="shared" si="22"/>
        <v>91</v>
      </c>
      <c r="G334" s="9">
        <f t="shared" ca="1" si="23"/>
        <v>-45595</v>
      </c>
      <c r="H334" s="9"/>
      <c r="I334" s="50"/>
      <c r="J334" s="50"/>
      <c r="K334" s="50"/>
      <c r="L334" s="50"/>
      <c r="M334" s="50"/>
      <c r="N334" s="50"/>
      <c r="O334" s="50"/>
      <c r="P334" s="50"/>
      <c r="Q334" s="50"/>
      <c r="R334" s="51"/>
    </row>
    <row r="335" spans="1:18" ht="18" customHeight="1" x14ac:dyDescent="0.3">
      <c r="A335" s="18">
        <v>332</v>
      </c>
      <c r="B335" s="7">
        <f t="shared" ca="1" si="20"/>
        <v>44850.42575509259</v>
      </c>
      <c r="C335" s="8">
        <f t="shared" ca="1" si="21"/>
        <v>44850.42575509259</v>
      </c>
      <c r="D335" s="6" t="s">
        <v>350</v>
      </c>
      <c r="E335" s="6"/>
      <c r="F335" s="7">
        <f t="shared" si="22"/>
        <v>91</v>
      </c>
      <c r="G335" s="9">
        <f t="shared" ca="1" si="23"/>
        <v>-45595</v>
      </c>
      <c r="H335" s="9"/>
      <c r="I335" s="50"/>
      <c r="J335" s="50"/>
      <c r="K335" s="50"/>
      <c r="L335" s="50"/>
      <c r="M335" s="50"/>
      <c r="N335" s="50"/>
      <c r="O335" s="50"/>
      <c r="P335" s="50"/>
      <c r="Q335" s="50"/>
      <c r="R335" s="51"/>
    </row>
    <row r="336" spans="1:18" ht="18" customHeight="1" x14ac:dyDescent="0.3">
      <c r="A336" s="18">
        <v>333</v>
      </c>
      <c r="B336" s="7">
        <f t="shared" ca="1" si="20"/>
        <v>44850.425784143517</v>
      </c>
      <c r="C336" s="8">
        <f t="shared" ca="1" si="21"/>
        <v>44850.425784143517</v>
      </c>
      <c r="D336" s="6" t="s">
        <v>351</v>
      </c>
      <c r="E336" s="6"/>
      <c r="F336" s="7">
        <f t="shared" si="22"/>
        <v>91</v>
      </c>
      <c r="G336" s="9">
        <f t="shared" ca="1" si="23"/>
        <v>-45595</v>
      </c>
      <c r="H336" s="9"/>
      <c r="I336" s="50"/>
      <c r="J336" s="50"/>
      <c r="K336" s="50"/>
      <c r="L336" s="50"/>
      <c r="M336" s="50"/>
      <c r="N336" s="50"/>
      <c r="O336" s="50"/>
      <c r="P336" s="50"/>
      <c r="Q336" s="50"/>
      <c r="R336" s="51"/>
    </row>
    <row r="337" spans="1:18" ht="18" customHeight="1" x14ac:dyDescent="0.3">
      <c r="A337" s="18">
        <v>334</v>
      </c>
      <c r="B337" s="7">
        <f t="shared" ca="1" si="20"/>
        <v>44850.425805439816</v>
      </c>
      <c r="C337" s="8">
        <f t="shared" ca="1" si="21"/>
        <v>44850.425805439816</v>
      </c>
      <c r="D337" s="6" t="s">
        <v>352</v>
      </c>
      <c r="E337" s="6"/>
      <c r="F337" s="7">
        <f t="shared" si="22"/>
        <v>91</v>
      </c>
      <c r="G337" s="9">
        <f t="shared" ca="1" si="23"/>
        <v>-45595</v>
      </c>
      <c r="H337" s="9"/>
      <c r="I337" s="50"/>
      <c r="J337" s="50"/>
      <c r="K337" s="50"/>
      <c r="L337" s="50"/>
      <c r="M337" s="50"/>
      <c r="N337" s="50"/>
      <c r="O337" s="50"/>
      <c r="P337" s="50"/>
      <c r="Q337" s="50"/>
      <c r="R337" s="51"/>
    </row>
    <row r="338" spans="1:18" ht="18" customHeight="1" x14ac:dyDescent="0.3">
      <c r="A338" s="18">
        <v>335</v>
      </c>
      <c r="B338" s="7">
        <f t="shared" ca="1" si="20"/>
        <v>44850.425823611113</v>
      </c>
      <c r="C338" s="8">
        <f t="shared" ca="1" si="21"/>
        <v>44850.425823611113</v>
      </c>
      <c r="D338" s="6" t="s">
        <v>353</v>
      </c>
      <c r="E338" s="6"/>
      <c r="F338" s="7">
        <f t="shared" si="22"/>
        <v>91</v>
      </c>
      <c r="G338" s="9">
        <f t="shared" ca="1" si="23"/>
        <v>-45595</v>
      </c>
      <c r="H338" s="9"/>
      <c r="I338" s="50"/>
      <c r="J338" s="50"/>
      <c r="K338" s="50"/>
      <c r="L338" s="50"/>
      <c r="M338" s="50"/>
      <c r="N338" s="50"/>
      <c r="O338" s="50"/>
      <c r="P338" s="50"/>
      <c r="Q338" s="50"/>
      <c r="R338" s="51"/>
    </row>
    <row r="339" spans="1:18" ht="18" customHeight="1" x14ac:dyDescent="0.3">
      <c r="A339" s="18">
        <v>336</v>
      </c>
      <c r="B339" s="7">
        <f t="shared" ca="1" si="20"/>
        <v>44850.425842476849</v>
      </c>
      <c r="C339" s="8">
        <f t="shared" ca="1" si="21"/>
        <v>44850.425842476849</v>
      </c>
      <c r="D339" s="6" t="s">
        <v>354</v>
      </c>
      <c r="E339" s="6"/>
      <c r="F339" s="7">
        <f t="shared" si="22"/>
        <v>91</v>
      </c>
      <c r="G339" s="9">
        <f t="shared" ca="1" si="23"/>
        <v>-45595</v>
      </c>
      <c r="H339" s="9"/>
      <c r="I339" s="50"/>
      <c r="J339" s="50"/>
      <c r="K339" s="50"/>
      <c r="L339" s="50"/>
      <c r="M339" s="50"/>
      <c r="N339" s="50"/>
      <c r="O339" s="50"/>
      <c r="P339" s="50"/>
      <c r="Q339" s="50"/>
      <c r="R339" s="51"/>
    </row>
    <row r="340" spans="1:18" ht="18" customHeight="1" x14ac:dyDescent="0.3">
      <c r="A340" s="18">
        <v>337</v>
      </c>
      <c r="B340" s="7">
        <f t="shared" ca="1" si="20"/>
        <v>44850.425861805554</v>
      </c>
      <c r="C340" s="8">
        <f t="shared" ca="1" si="21"/>
        <v>44850.425861805554</v>
      </c>
      <c r="D340" s="6" t="s">
        <v>355</v>
      </c>
      <c r="E340" s="6"/>
      <c r="F340" s="7">
        <f t="shared" si="22"/>
        <v>91</v>
      </c>
      <c r="G340" s="9">
        <f t="shared" ca="1" si="23"/>
        <v>-45595</v>
      </c>
      <c r="H340" s="9"/>
      <c r="I340" s="50"/>
      <c r="J340" s="50"/>
      <c r="K340" s="50"/>
      <c r="L340" s="50"/>
      <c r="M340" s="50"/>
      <c r="N340" s="50"/>
      <c r="O340" s="50"/>
      <c r="P340" s="50"/>
      <c r="Q340" s="50"/>
      <c r="R340" s="51"/>
    </row>
    <row r="341" spans="1:18" ht="18" customHeight="1" x14ac:dyDescent="0.3">
      <c r="A341" s="18">
        <v>338</v>
      </c>
      <c r="B341" s="7">
        <f t="shared" ca="1" si="20"/>
        <v>44850.425879745373</v>
      </c>
      <c r="C341" s="8">
        <f t="shared" ca="1" si="21"/>
        <v>44850.425879745373</v>
      </c>
      <c r="D341" s="6" t="s">
        <v>356</v>
      </c>
      <c r="E341" s="6"/>
      <c r="F341" s="7">
        <f t="shared" si="22"/>
        <v>91</v>
      </c>
      <c r="G341" s="9">
        <f t="shared" ca="1" si="23"/>
        <v>-45595</v>
      </c>
      <c r="H341" s="9"/>
      <c r="I341" s="50"/>
      <c r="J341" s="50"/>
      <c r="K341" s="50"/>
      <c r="L341" s="50"/>
      <c r="M341" s="50"/>
      <c r="N341" s="50"/>
      <c r="O341" s="50"/>
      <c r="P341" s="50"/>
      <c r="Q341" s="50"/>
      <c r="R341" s="51"/>
    </row>
    <row r="342" spans="1:18" ht="18" customHeight="1" x14ac:dyDescent="0.3">
      <c r="A342" s="18">
        <v>339</v>
      </c>
      <c r="B342" s="7">
        <f t="shared" ca="1" si="20"/>
        <v>44850.425899305556</v>
      </c>
      <c r="C342" s="8">
        <f t="shared" ca="1" si="21"/>
        <v>44850.425899305556</v>
      </c>
      <c r="D342" s="6" t="s">
        <v>357</v>
      </c>
      <c r="E342" s="6"/>
      <c r="F342" s="7">
        <f t="shared" si="22"/>
        <v>91</v>
      </c>
      <c r="G342" s="9">
        <f t="shared" ca="1" si="23"/>
        <v>-45595</v>
      </c>
      <c r="H342" s="9"/>
      <c r="I342" s="50"/>
      <c r="J342" s="50"/>
      <c r="K342" s="50"/>
      <c r="L342" s="50"/>
      <c r="M342" s="50"/>
      <c r="N342" s="50"/>
      <c r="O342" s="50"/>
      <c r="P342" s="50"/>
      <c r="Q342" s="50"/>
      <c r="R342" s="51"/>
    </row>
    <row r="343" spans="1:18" ht="18" customHeight="1" x14ac:dyDescent="0.3">
      <c r="A343" s="18">
        <v>340</v>
      </c>
      <c r="B343" s="7">
        <f t="shared" ca="1" si="20"/>
        <v>44850.425918055553</v>
      </c>
      <c r="C343" s="8">
        <f t="shared" ca="1" si="21"/>
        <v>44850.425918055553</v>
      </c>
      <c r="D343" s="6" t="s">
        <v>358</v>
      </c>
      <c r="E343" s="6"/>
      <c r="F343" s="7">
        <f t="shared" si="22"/>
        <v>91</v>
      </c>
      <c r="G343" s="9">
        <f t="shared" ca="1" si="23"/>
        <v>-45595</v>
      </c>
      <c r="H343" s="9"/>
      <c r="I343" s="50"/>
      <c r="J343" s="50"/>
      <c r="K343" s="50"/>
      <c r="L343" s="50"/>
      <c r="M343" s="50"/>
      <c r="N343" s="50"/>
      <c r="O343" s="50"/>
      <c r="P343" s="50"/>
      <c r="Q343" s="50"/>
      <c r="R343" s="51"/>
    </row>
    <row r="344" spans="1:18" ht="18" customHeight="1" x14ac:dyDescent="0.3">
      <c r="A344" s="18">
        <v>341</v>
      </c>
      <c r="B344" s="7">
        <f t="shared" ca="1" si="20"/>
        <v>44850.425935763888</v>
      </c>
      <c r="C344" s="8">
        <f t="shared" ca="1" si="21"/>
        <v>44850.425935763888</v>
      </c>
      <c r="D344" s="6" t="s">
        <v>359</v>
      </c>
      <c r="E344" s="6"/>
      <c r="F344" s="7">
        <f t="shared" si="22"/>
        <v>91</v>
      </c>
      <c r="G344" s="9">
        <f t="shared" ca="1" si="23"/>
        <v>-45595</v>
      </c>
      <c r="H344" s="9"/>
      <c r="I344" s="50"/>
      <c r="J344" s="50"/>
      <c r="K344" s="50"/>
      <c r="L344" s="50"/>
      <c r="M344" s="50"/>
      <c r="N344" s="50"/>
      <c r="O344" s="50"/>
      <c r="P344" s="50"/>
      <c r="Q344" s="50"/>
      <c r="R344" s="51"/>
    </row>
    <row r="345" spans="1:18" ht="18" customHeight="1" x14ac:dyDescent="0.3">
      <c r="A345" s="18">
        <v>342</v>
      </c>
      <c r="B345" s="7">
        <f t="shared" ca="1" si="20"/>
        <v>44850.425989467592</v>
      </c>
      <c r="C345" s="8">
        <f t="shared" ca="1" si="21"/>
        <v>44850.425989467592</v>
      </c>
      <c r="D345" s="6" t="s">
        <v>360</v>
      </c>
      <c r="E345" s="6"/>
      <c r="F345" s="7">
        <f t="shared" si="22"/>
        <v>91</v>
      </c>
      <c r="G345" s="9">
        <f t="shared" ca="1" si="23"/>
        <v>-45595</v>
      </c>
      <c r="H345" s="9"/>
      <c r="I345" s="50"/>
      <c r="J345" s="50"/>
      <c r="K345" s="50"/>
      <c r="L345" s="50"/>
      <c r="M345" s="50"/>
      <c r="N345" s="50"/>
      <c r="O345" s="50"/>
      <c r="P345" s="50"/>
      <c r="Q345" s="50"/>
      <c r="R345" s="51"/>
    </row>
    <row r="346" spans="1:18" ht="18" customHeight="1" x14ac:dyDescent="0.3">
      <c r="A346" s="18">
        <v>343</v>
      </c>
      <c r="B346" s="7">
        <f t="shared" ca="1" si="20"/>
        <v>44850.426011226853</v>
      </c>
      <c r="C346" s="8">
        <f t="shared" ca="1" si="21"/>
        <v>44850.426011226853</v>
      </c>
      <c r="D346" s="6" t="s">
        <v>361</v>
      </c>
      <c r="E346" s="6"/>
      <c r="F346" s="7">
        <f t="shared" si="22"/>
        <v>91</v>
      </c>
      <c r="G346" s="9">
        <f t="shared" ca="1" si="23"/>
        <v>-45595</v>
      </c>
      <c r="H346" s="9"/>
      <c r="I346" s="50"/>
      <c r="J346" s="50"/>
      <c r="K346" s="50"/>
      <c r="L346" s="50"/>
      <c r="M346" s="50"/>
      <c r="N346" s="50"/>
      <c r="O346" s="50"/>
      <c r="P346" s="50"/>
      <c r="Q346" s="50"/>
      <c r="R346" s="51"/>
    </row>
    <row r="347" spans="1:18" ht="18" customHeight="1" x14ac:dyDescent="0.3">
      <c r="A347" s="18">
        <v>344</v>
      </c>
      <c r="B347" s="7">
        <f t="shared" ca="1" si="20"/>
        <v>44850.426030787035</v>
      </c>
      <c r="C347" s="8">
        <f t="shared" ca="1" si="21"/>
        <v>44850.426030787035</v>
      </c>
      <c r="D347" s="6" t="s">
        <v>362</v>
      </c>
      <c r="E347" s="6"/>
      <c r="F347" s="7">
        <f t="shared" si="22"/>
        <v>91</v>
      </c>
      <c r="G347" s="9">
        <f t="shared" ca="1" si="23"/>
        <v>-45595</v>
      </c>
      <c r="H347" s="9"/>
      <c r="I347" s="50"/>
      <c r="J347" s="50"/>
      <c r="K347" s="50"/>
      <c r="L347" s="50"/>
      <c r="M347" s="50"/>
      <c r="N347" s="50"/>
      <c r="O347" s="50"/>
      <c r="P347" s="50"/>
      <c r="Q347" s="50"/>
      <c r="R347" s="51"/>
    </row>
    <row r="348" spans="1:18" ht="18" customHeight="1" x14ac:dyDescent="0.3">
      <c r="A348" s="18">
        <v>345</v>
      </c>
      <c r="B348" s="7">
        <f t="shared" ca="1" si="20"/>
        <v>44850.42604791667</v>
      </c>
      <c r="C348" s="8">
        <f t="shared" ca="1" si="21"/>
        <v>44850.42604791667</v>
      </c>
      <c r="D348" s="6" t="s">
        <v>363</v>
      </c>
      <c r="E348" s="6"/>
      <c r="F348" s="7">
        <f t="shared" si="22"/>
        <v>91</v>
      </c>
      <c r="G348" s="9">
        <f t="shared" ca="1" si="23"/>
        <v>-45595</v>
      </c>
      <c r="H348" s="9"/>
      <c r="I348" s="50"/>
      <c r="J348" s="50"/>
      <c r="K348" s="50"/>
      <c r="L348" s="50"/>
      <c r="M348" s="50"/>
      <c r="N348" s="50"/>
      <c r="O348" s="50"/>
      <c r="P348" s="50"/>
      <c r="Q348" s="50"/>
      <c r="R348" s="51"/>
    </row>
    <row r="349" spans="1:18" ht="18" customHeight="1" x14ac:dyDescent="0.3">
      <c r="A349" s="18">
        <v>346</v>
      </c>
      <c r="B349" s="7">
        <f t="shared" ca="1" si="20"/>
        <v>44850.42606377315</v>
      </c>
      <c r="C349" s="8">
        <f t="shared" ca="1" si="21"/>
        <v>44850.42606377315</v>
      </c>
      <c r="D349" s="6" t="s">
        <v>364</v>
      </c>
      <c r="E349" s="6"/>
      <c r="F349" s="7">
        <f t="shared" si="22"/>
        <v>91</v>
      </c>
      <c r="G349" s="9">
        <f t="shared" ca="1" si="23"/>
        <v>-45595</v>
      </c>
      <c r="H349" s="9"/>
      <c r="I349" s="50"/>
      <c r="J349" s="50"/>
      <c r="K349" s="50"/>
      <c r="L349" s="50"/>
      <c r="M349" s="50"/>
      <c r="N349" s="50"/>
      <c r="O349" s="50"/>
      <c r="P349" s="50"/>
      <c r="Q349" s="50"/>
      <c r="R349" s="51"/>
    </row>
    <row r="350" spans="1:18" ht="18" customHeight="1" x14ac:dyDescent="0.3">
      <c r="A350" s="18">
        <v>347</v>
      </c>
      <c r="B350" s="7">
        <f t="shared" ca="1" si="20"/>
        <v>44850.426080787038</v>
      </c>
      <c r="C350" s="8">
        <f t="shared" ca="1" si="21"/>
        <v>44850.426080787038</v>
      </c>
      <c r="D350" s="6" t="s">
        <v>365</v>
      </c>
      <c r="E350" s="6"/>
      <c r="F350" s="7">
        <f t="shared" si="22"/>
        <v>91</v>
      </c>
      <c r="G350" s="9">
        <f t="shared" ca="1" si="23"/>
        <v>-45595</v>
      </c>
      <c r="H350" s="9"/>
      <c r="I350" s="50"/>
      <c r="J350" s="50"/>
      <c r="K350" s="50"/>
      <c r="L350" s="50"/>
      <c r="M350" s="50"/>
      <c r="N350" s="50"/>
      <c r="O350" s="50"/>
      <c r="P350" s="50"/>
      <c r="Q350" s="50"/>
      <c r="R350" s="51"/>
    </row>
    <row r="351" spans="1:18" ht="18" customHeight="1" x14ac:dyDescent="0.3">
      <c r="A351" s="18">
        <v>348</v>
      </c>
      <c r="B351" s="7">
        <f t="shared" ca="1" si="20"/>
        <v>44850.426097800926</v>
      </c>
      <c r="C351" s="8">
        <f t="shared" ca="1" si="21"/>
        <v>44850.426097800926</v>
      </c>
      <c r="D351" s="6" t="s">
        <v>366</v>
      </c>
      <c r="E351" s="6"/>
      <c r="F351" s="7">
        <f t="shared" si="22"/>
        <v>91</v>
      </c>
      <c r="G351" s="9">
        <f t="shared" ca="1" si="23"/>
        <v>-45595</v>
      </c>
      <c r="H351" s="9"/>
      <c r="I351" s="50"/>
      <c r="J351" s="50"/>
      <c r="K351" s="50"/>
      <c r="L351" s="50"/>
      <c r="M351" s="50"/>
      <c r="N351" s="50"/>
      <c r="O351" s="50"/>
      <c r="P351" s="50"/>
      <c r="Q351" s="50"/>
      <c r="R351" s="51"/>
    </row>
    <row r="352" spans="1:18" ht="18" customHeight="1" x14ac:dyDescent="0.3">
      <c r="A352" s="18">
        <v>349</v>
      </c>
      <c r="B352" s="7">
        <f t="shared" ca="1" si="20"/>
        <v>44850.426113541667</v>
      </c>
      <c r="C352" s="8">
        <f t="shared" ca="1" si="21"/>
        <v>44850.426113541667</v>
      </c>
      <c r="D352" s="6" t="s">
        <v>367</v>
      </c>
      <c r="E352" s="6"/>
      <c r="F352" s="7">
        <f t="shared" si="22"/>
        <v>91</v>
      </c>
      <c r="G352" s="9">
        <f t="shared" ca="1" si="23"/>
        <v>-45595</v>
      </c>
      <c r="H352" s="9"/>
      <c r="I352" s="50"/>
      <c r="J352" s="50"/>
      <c r="K352" s="50"/>
      <c r="L352" s="50"/>
      <c r="M352" s="50"/>
      <c r="N352" s="50"/>
      <c r="O352" s="50"/>
      <c r="P352" s="50"/>
      <c r="Q352" s="50"/>
      <c r="R352" s="51"/>
    </row>
    <row r="353" spans="1:18" ht="18" customHeight="1" x14ac:dyDescent="0.3">
      <c r="A353" s="18">
        <v>350</v>
      </c>
      <c r="B353" s="7">
        <f t="shared" ca="1" si="20"/>
        <v>44850.426131828703</v>
      </c>
      <c r="C353" s="8">
        <f t="shared" ca="1" si="21"/>
        <v>44850.426131828703</v>
      </c>
      <c r="D353" s="6" t="s">
        <v>368</v>
      </c>
      <c r="E353" s="6"/>
      <c r="F353" s="7">
        <f t="shared" si="22"/>
        <v>91</v>
      </c>
      <c r="G353" s="9">
        <f t="shared" ca="1" si="23"/>
        <v>-45595</v>
      </c>
      <c r="H353" s="9"/>
      <c r="I353" s="50"/>
      <c r="J353" s="50"/>
      <c r="K353" s="50"/>
      <c r="L353" s="50"/>
      <c r="M353" s="50"/>
      <c r="N353" s="50"/>
      <c r="O353" s="50"/>
      <c r="P353" s="50"/>
      <c r="Q353" s="50"/>
      <c r="R353" s="51"/>
    </row>
    <row r="354" spans="1:18" ht="18" customHeight="1" x14ac:dyDescent="0.3">
      <c r="A354" s="18">
        <v>351</v>
      </c>
      <c r="B354" s="7">
        <f t="shared" ca="1" si="20"/>
        <v>44850.426150462961</v>
      </c>
      <c r="C354" s="8">
        <f t="shared" ca="1" si="21"/>
        <v>44850.426150462961</v>
      </c>
      <c r="D354" s="6" t="s">
        <v>369</v>
      </c>
      <c r="E354" s="6"/>
      <c r="F354" s="7">
        <f t="shared" si="22"/>
        <v>91</v>
      </c>
      <c r="G354" s="9">
        <f t="shared" ca="1" si="23"/>
        <v>-45595</v>
      </c>
      <c r="H354" s="9"/>
      <c r="I354" s="50"/>
      <c r="J354" s="50"/>
      <c r="K354" s="50"/>
      <c r="L354" s="50"/>
      <c r="M354" s="50"/>
      <c r="N354" s="50"/>
      <c r="O354" s="50"/>
      <c r="P354" s="50"/>
      <c r="Q354" s="50"/>
      <c r="R354" s="51"/>
    </row>
    <row r="355" spans="1:18" ht="18" customHeight="1" x14ac:dyDescent="0.3">
      <c r="A355" s="18">
        <v>352</v>
      </c>
      <c r="B355" s="7">
        <f t="shared" ca="1" si="20"/>
        <v>44850.426198726855</v>
      </c>
      <c r="C355" s="8">
        <f t="shared" ca="1" si="21"/>
        <v>44850.426198726855</v>
      </c>
      <c r="D355" s="6" t="s">
        <v>370</v>
      </c>
      <c r="E355" s="6"/>
      <c r="F355" s="7">
        <f t="shared" si="22"/>
        <v>91</v>
      </c>
      <c r="G355" s="9">
        <f t="shared" ca="1" si="23"/>
        <v>-45595</v>
      </c>
      <c r="H355" s="9"/>
      <c r="I355" s="50"/>
      <c r="J355" s="50"/>
      <c r="K355" s="50"/>
      <c r="L355" s="50"/>
      <c r="M355" s="50"/>
      <c r="N355" s="50"/>
      <c r="O355" s="50"/>
      <c r="P355" s="50"/>
      <c r="Q355" s="50"/>
      <c r="R355" s="51"/>
    </row>
    <row r="356" spans="1:18" ht="18" customHeight="1" x14ac:dyDescent="0.3">
      <c r="A356" s="18">
        <v>353</v>
      </c>
      <c r="B356" s="7">
        <f t="shared" ca="1" si="20"/>
        <v>44850.426217361113</v>
      </c>
      <c r="C356" s="8">
        <f t="shared" ca="1" si="21"/>
        <v>44850.426217361113</v>
      </c>
      <c r="D356" s="6" t="s">
        <v>371</v>
      </c>
      <c r="E356" s="6"/>
      <c r="F356" s="7">
        <f t="shared" si="22"/>
        <v>91</v>
      </c>
      <c r="G356" s="9">
        <f t="shared" ca="1" si="23"/>
        <v>-45595</v>
      </c>
      <c r="H356" s="9"/>
      <c r="I356" s="50"/>
      <c r="J356" s="50"/>
      <c r="K356" s="50"/>
      <c r="L356" s="50"/>
      <c r="M356" s="50"/>
      <c r="N356" s="50"/>
      <c r="O356" s="50"/>
      <c r="P356" s="50"/>
      <c r="Q356" s="50"/>
      <c r="R356" s="51"/>
    </row>
    <row r="357" spans="1:18" ht="18" customHeight="1" x14ac:dyDescent="0.3">
      <c r="A357" s="18">
        <v>354</v>
      </c>
      <c r="B357" s="7">
        <f t="shared" ca="1" si="20"/>
        <v>44850.426258680556</v>
      </c>
      <c r="C357" s="8">
        <f t="shared" ca="1" si="21"/>
        <v>44850.426258680556</v>
      </c>
      <c r="D357" s="6" t="s">
        <v>372</v>
      </c>
      <c r="E357" s="6"/>
      <c r="F357" s="7">
        <f t="shared" si="22"/>
        <v>91</v>
      </c>
      <c r="G357" s="9">
        <f t="shared" ca="1" si="23"/>
        <v>-45595</v>
      </c>
      <c r="H357" s="9"/>
      <c r="I357" s="50"/>
      <c r="J357" s="50"/>
      <c r="K357" s="50"/>
      <c r="L357" s="50"/>
      <c r="M357" s="50"/>
      <c r="N357" s="50"/>
      <c r="O357" s="50"/>
      <c r="P357" s="50"/>
      <c r="Q357" s="50"/>
      <c r="R357" s="51"/>
    </row>
    <row r="358" spans="1:18" ht="18" customHeight="1" x14ac:dyDescent="0.3">
      <c r="A358" s="18">
        <v>355</v>
      </c>
      <c r="B358" s="7">
        <f t="shared" ca="1" si="20"/>
        <v>44850.42627546296</v>
      </c>
      <c r="C358" s="8">
        <f t="shared" ca="1" si="21"/>
        <v>44850.42627546296</v>
      </c>
      <c r="D358" s="6" t="s">
        <v>373</v>
      </c>
      <c r="E358" s="6"/>
      <c r="F358" s="7">
        <f t="shared" si="22"/>
        <v>91</v>
      </c>
      <c r="G358" s="9">
        <f t="shared" ca="1" si="23"/>
        <v>-45595</v>
      </c>
      <c r="H358" s="9"/>
      <c r="I358" s="50"/>
      <c r="J358" s="50"/>
      <c r="K358" s="50"/>
      <c r="L358" s="50"/>
      <c r="M358" s="50"/>
      <c r="N358" s="50"/>
      <c r="O358" s="50"/>
      <c r="P358" s="50"/>
      <c r="Q358" s="50"/>
      <c r="R358" s="51"/>
    </row>
    <row r="359" spans="1:18" ht="18" customHeight="1" x14ac:dyDescent="0.3">
      <c r="A359" s="18">
        <v>356</v>
      </c>
      <c r="B359" s="7">
        <f t="shared" ca="1" si="20"/>
        <v>44850.426292013886</v>
      </c>
      <c r="C359" s="8">
        <f t="shared" ca="1" si="21"/>
        <v>44850.426292013886</v>
      </c>
      <c r="D359" s="6" t="s">
        <v>374</v>
      </c>
      <c r="E359" s="6"/>
      <c r="F359" s="7">
        <f t="shared" si="22"/>
        <v>91</v>
      </c>
      <c r="G359" s="9">
        <f t="shared" ca="1" si="23"/>
        <v>-45595</v>
      </c>
      <c r="H359" s="9"/>
      <c r="I359" s="50"/>
      <c r="J359" s="50"/>
      <c r="K359" s="50"/>
      <c r="L359" s="50"/>
      <c r="M359" s="50"/>
      <c r="N359" s="50"/>
      <c r="O359" s="50"/>
      <c r="P359" s="50"/>
      <c r="Q359" s="50"/>
      <c r="R359" s="51"/>
    </row>
    <row r="360" spans="1:18" ht="18" customHeight="1" x14ac:dyDescent="0.3">
      <c r="A360" s="18">
        <v>357</v>
      </c>
      <c r="B360" s="7">
        <f t="shared" ca="1" si="20"/>
        <v>44850.426306828704</v>
      </c>
      <c r="C360" s="8">
        <f t="shared" ca="1" si="21"/>
        <v>44850.426306828704</v>
      </c>
      <c r="D360" s="6" t="s">
        <v>375</v>
      </c>
      <c r="E360" s="6"/>
      <c r="F360" s="7">
        <f t="shared" si="22"/>
        <v>91</v>
      </c>
      <c r="G360" s="9">
        <f t="shared" ca="1" si="23"/>
        <v>-45595</v>
      </c>
      <c r="H360" s="9"/>
      <c r="I360" s="50"/>
      <c r="J360" s="50"/>
      <c r="K360" s="50"/>
      <c r="L360" s="50"/>
      <c r="M360" s="50"/>
      <c r="N360" s="50"/>
      <c r="O360" s="50"/>
      <c r="P360" s="50"/>
      <c r="Q360" s="50"/>
      <c r="R360" s="51"/>
    </row>
    <row r="361" spans="1:18" ht="18" customHeight="1" x14ac:dyDescent="0.3">
      <c r="A361" s="18">
        <v>358</v>
      </c>
      <c r="B361" s="7">
        <f t="shared" ca="1" si="20"/>
        <v>44850.426360763886</v>
      </c>
      <c r="C361" s="8">
        <f t="shared" ca="1" si="21"/>
        <v>44850.426360763886</v>
      </c>
      <c r="D361" s="6" t="s">
        <v>376</v>
      </c>
      <c r="E361" s="6"/>
      <c r="F361" s="7">
        <f t="shared" si="22"/>
        <v>91</v>
      </c>
      <c r="G361" s="9">
        <f t="shared" ca="1" si="23"/>
        <v>-45595</v>
      </c>
      <c r="H361" s="9"/>
      <c r="I361" s="50"/>
      <c r="J361" s="50"/>
      <c r="K361" s="50"/>
      <c r="L361" s="50"/>
      <c r="M361" s="50"/>
      <c r="N361" s="50"/>
      <c r="O361" s="50"/>
      <c r="P361" s="50"/>
      <c r="Q361" s="50"/>
      <c r="R361" s="51"/>
    </row>
    <row r="362" spans="1:18" ht="18" customHeight="1" x14ac:dyDescent="0.3">
      <c r="A362" s="18">
        <v>359</v>
      </c>
      <c r="B362" s="7">
        <f t="shared" ca="1" si="20"/>
        <v>44850.426389699074</v>
      </c>
      <c r="C362" s="8">
        <f t="shared" ca="1" si="21"/>
        <v>44850.426389699074</v>
      </c>
      <c r="D362" s="6" t="s">
        <v>377</v>
      </c>
      <c r="E362" s="6"/>
      <c r="F362" s="7">
        <f t="shared" si="22"/>
        <v>91</v>
      </c>
      <c r="G362" s="9">
        <f t="shared" ca="1" si="23"/>
        <v>-45595</v>
      </c>
      <c r="H362" s="9"/>
      <c r="I362" s="50"/>
      <c r="J362" s="50"/>
      <c r="K362" s="50"/>
      <c r="L362" s="50"/>
      <c r="M362" s="50"/>
      <c r="N362" s="50"/>
      <c r="O362" s="50"/>
      <c r="P362" s="50"/>
      <c r="Q362" s="50"/>
      <c r="R362" s="51"/>
    </row>
    <row r="363" spans="1:18" ht="18" customHeight="1" x14ac:dyDescent="0.3">
      <c r="A363" s="18">
        <v>360</v>
      </c>
      <c r="B363" s="7">
        <f t="shared" ca="1" si="20"/>
        <v>44850.426408449071</v>
      </c>
      <c r="C363" s="8">
        <f t="shared" ca="1" si="21"/>
        <v>44850.426408449071</v>
      </c>
      <c r="D363" s="6" t="s">
        <v>378</v>
      </c>
      <c r="E363" s="6"/>
      <c r="F363" s="7">
        <f t="shared" si="22"/>
        <v>91</v>
      </c>
      <c r="G363" s="9">
        <f t="shared" ca="1" si="23"/>
        <v>-45595</v>
      </c>
      <c r="H363" s="9"/>
      <c r="I363" s="50"/>
      <c r="J363" s="50"/>
      <c r="K363" s="50"/>
      <c r="L363" s="50"/>
      <c r="M363" s="50"/>
      <c r="N363" s="50"/>
      <c r="O363" s="50"/>
      <c r="P363" s="50"/>
      <c r="Q363" s="50"/>
      <c r="R363" s="51"/>
    </row>
    <row r="364" spans="1:18" ht="18" customHeight="1" x14ac:dyDescent="0.3">
      <c r="A364" s="18">
        <v>361</v>
      </c>
      <c r="B364" s="7">
        <f t="shared" ca="1" si="20"/>
        <v>44850.426429282408</v>
      </c>
      <c r="C364" s="8">
        <f t="shared" ca="1" si="21"/>
        <v>44850.426429282408</v>
      </c>
      <c r="D364" s="6" t="s">
        <v>379</v>
      </c>
      <c r="E364" s="6"/>
      <c r="F364" s="7">
        <f t="shared" si="22"/>
        <v>91</v>
      </c>
      <c r="G364" s="9">
        <f t="shared" ca="1" si="23"/>
        <v>-45595</v>
      </c>
      <c r="H364" s="9"/>
      <c r="I364" s="50"/>
      <c r="J364" s="50"/>
      <c r="K364" s="50"/>
      <c r="L364" s="50"/>
      <c r="M364" s="50"/>
      <c r="N364" s="50"/>
      <c r="O364" s="50"/>
      <c r="P364" s="50"/>
      <c r="Q364" s="50"/>
      <c r="R364" s="51"/>
    </row>
    <row r="365" spans="1:18" ht="18" customHeight="1" x14ac:dyDescent="0.3">
      <c r="A365" s="18">
        <v>362</v>
      </c>
      <c r="B365" s="7">
        <f t="shared" ca="1" si="20"/>
        <v>44850.426455439818</v>
      </c>
      <c r="C365" s="8">
        <f t="shared" ca="1" si="21"/>
        <v>44850.426455439818</v>
      </c>
      <c r="D365" s="6" t="s">
        <v>380</v>
      </c>
      <c r="E365" s="6"/>
      <c r="F365" s="7">
        <f t="shared" si="22"/>
        <v>91</v>
      </c>
      <c r="G365" s="9">
        <f t="shared" ca="1" si="23"/>
        <v>-45595</v>
      </c>
      <c r="H365" s="9"/>
      <c r="I365" s="50"/>
      <c r="J365" s="50"/>
      <c r="K365" s="50"/>
      <c r="L365" s="50"/>
      <c r="M365" s="50"/>
      <c r="N365" s="50"/>
      <c r="O365" s="50"/>
      <c r="P365" s="50"/>
      <c r="Q365" s="50"/>
      <c r="R365" s="51"/>
    </row>
    <row r="366" spans="1:18" ht="18" customHeight="1" x14ac:dyDescent="0.3">
      <c r="A366" s="18">
        <v>363</v>
      </c>
      <c r="B366" s="7">
        <f t="shared" ca="1" si="20"/>
        <v>44850.426481249997</v>
      </c>
      <c r="C366" s="8">
        <f t="shared" ca="1" si="21"/>
        <v>44850.426481249997</v>
      </c>
      <c r="D366" s="6" t="s">
        <v>381</v>
      </c>
      <c r="E366" s="6"/>
      <c r="F366" s="7">
        <f t="shared" si="22"/>
        <v>91</v>
      </c>
      <c r="G366" s="9">
        <f t="shared" ca="1" si="23"/>
        <v>-45595</v>
      </c>
      <c r="H366" s="9"/>
      <c r="I366" s="50"/>
      <c r="J366" s="50"/>
      <c r="K366" s="50"/>
      <c r="L366" s="50"/>
      <c r="M366" s="50"/>
      <c r="N366" s="50"/>
      <c r="O366" s="50"/>
      <c r="P366" s="50"/>
      <c r="Q366" s="50"/>
      <c r="R366" s="51"/>
    </row>
    <row r="367" spans="1:18" ht="18" customHeight="1" x14ac:dyDescent="0.3">
      <c r="A367" s="18">
        <v>364</v>
      </c>
      <c r="B367" s="7">
        <f t="shared" ca="1" si="20"/>
        <v>44850.426496296299</v>
      </c>
      <c r="C367" s="8">
        <f t="shared" ca="1" si="21"/>
        <v>44850.426496296299</v>
      </c>
      <c r="D367" s="6" t="s">
        <v>382</v>
      </c>
      <c r="E367" s="6"/>
      <c r="F367" s="7">
        <f t="shared" si="22"/>
        <v>91</v>
      </c>
      <c r="G367" s="9">
        <f t="shared" ca="1" si="23"/>
        <v>-45595</v>
      </c>
      <c r="H367" s="9"/>
      <c r="I367" s="50"/>
      <c r="J367" s="50"/>
      <c r="K367" s="50"/>
      <c r="L367" s="50"/>
      <c r="M367" s="50"/>
      <c r="N367" s="50"/>
      <c r="O367" s="50"/>
      <c r="P367" s="50"/>
      <c r="Q367" s="50"/>
      <c r="R367" s="51"/>
    </row>
    <row r="368" spans="1:18" ht="18" customHeight="1" x14ac:dyDescent="0.3">
      <c r="A368" s="18">
        <v>365</v>
      </c>
      <c r="B368" s="7">
        <f t="shared" ca="1" si="20"/>
        <v>44850.426511342594</v>
      </c>
      <c r="C368" s="8">
        <f t="shared" ca="1" si="21"/>
        <v>44850.426511342594</v>
      </c>
      <c r="D368" s="6" t="s">
        <v>383</v>
      </c>
      <c r="E368" s="6"/>
      <c r="F368" s="7">
        <f t="shared" si="22"/>
        <v>91</v>
      </c>
      <c r="G368" s="9">
        <f t="shared" ca="1" si="23"/>
        <v>-45595</v>
      </c>
      <c r="H368" s="9"/>
      <c r="I368" s="50"/>
      <c r="J368" s="50"/>
      <c r="K368" s="50"/>
      <c r="L368" s="50"/>
      <c r="M368" s="50"/>
      <c r="N368" s="50"/>
      <c r="O368" s="50"/>
      <c r="P368" s="50"/>
      <c r="Q368" s="50"/>
      <c r="R368" s="51"/>
    </row>
    <row r="369" spans="1:18" ht="18" customHeight="1" x14ac:dyDescent="0.3">
      <c r="A369" s="18">
        <v>366</v>
      </c>
      <c r="B369" s="7">
        <f t="shared" ca="1" si="20"/>
        <v>44850.426530671299</v>
      </c>
      <c r="C369" s="8">
        <f t="shared" ca="1" si="21"/>
        <v>44850.426530671299</v>
      </c>
      <c r="D369" s="6" t="s">
        <v>384</v>
      </c>
      <c r="E369" s="6"/>
      <c r="F369" s="7">
        <f t="shared" si="22"/>
        <v>91</v>
      </c>
      <c r="G369" s="9">
        <f t="shared" ca="1" si="23"/>
        <v>-45595</v>
      </c>
      <c r="H369" s="9"/>
      <c r="I369" s="50"/>
      <c r="J369" s="50"/>
      <c r="K369" s="50"/>
      <c r="L369" s="50"/>
      <c r="M369" s="50"/>
      <c r="N369" s="50"/>
      <c r="O369" s="50"/>
      <c r="P369" s="50"/>
      <c r="Q369" s="50"/>
      <c r="R369" s="51"/>
    </row>
    <row r="370" spans="1:18" ht="18" customHeight="1" x14ac:dyDescent="0.3">
      <c r="A370" s="18">
        <v>367</v>
      </c>
      <c r="B370" s="7">
        <f t="shared" ca="1" si="20"/>
        <v>44850.426547337964</v>
      </c>
      <c r="C370" s="8">
        <f t="shared" ca="1" si="21"/>
        <v>44850.426547337964</v>
      </c>
      <c r="D370" s="6" t="s">
        <v>385</v>
      </c>
      <c r="E370" s="6"/>
      <c r="F370" s="7">
        <f t="shared" si="22"/>
        <v>91</v>
      </c>
      <c r="G370" s="9">
        <f t="shared" ca="1" si="23"/>
        <v>-45595</v>
      </c>
      <c r="H370" s="9"/>
      <c r="I370" s="50"/>
      <c r="J370" s="50"/>
      <c r="K370" s="50"/>
      <c r="L370" s="50"/>
      <c r="M370" s="50"/>
      <c r="N370" s="50"/>
      <c r="O370" s="50"/>
      <c r="P370" s="50"/>
      <c r="Q370" s="50"/>
      <c r="R370" s="51"/>
    </row>
    <row r="371" spans="1:18" ht="18" customHeight="1" x14ac:dyDescent="0.3">
      <c r="A371" s="18">
        <v>368</v>
      </c>
      <c r="B371" s="7">
        <f t="shared" ca="1" si="20"/>
        <v>44850.426571412034</v>
      </c>
      <c r="C371" s="8">
        <f t="shared" ca="1" si="21"/>
        <v>44850.426571412034</v>
      </c>
      <c r="D371" s="6" t="s">
        <v>386</v>
      </c>
      <c r="E371" s="6"/>
      <c r="F371" s="7">
        <f t="shared" si="22"/>
        <v>91</v>
      </c>
      <c r="G371" s="9">
        <f t="shared" ca="1" si="23"/>
        <v>-45595</v>
      </c>
      <c r="H371" s="9"/>
      <c r="I371" s="50"/>
      <c r="J371" s="50"/>
      <c r="K371" s="50"/>
      <c r="L371" s="50"/>
      <c r="M371" s="50"/>
      <c r="N371" s="50"/>
      <c r="O371" s="50"/>
      <c r="P371" s="50"/>
      <c r="Q371" s="50"/>
      <c r="R371" s="51"/>
    </row>
    <row r="372" spans="1:18" ht="18" customHeight="1" x14ac:dyDescent="0.3">
      <c r="A372" s="18">
        <v>369</v>
      </c>
      <c r="B372" s="7">
        <f t="shared" ca="1" si="20"/>
        <v>44850.426587037036</v>
      </c>
      <c r="C372" s="8">
        <f t="shared" ca="1" si="21"/>
        <v>44850.426587037036</v>
      </c>
      <c r="D372" s="6" t="s">
        <v>387</v>
      </c>
      <c r="E372" s="6"/>
      <c r="F372" s="7">
        <f t="shared" si="22"/>
        <v>91</v>
      </c>
      <c r="G372" s="9">
        <f t="shared" ca="1" si="23"/>
        <v>-45595</v>
      </c>
      <c r="H372" s="9"/>
      <c r="I372" s="50"/>
      <c r="J372" s="50"/>
      <c r="K372" s="50"/>
      <c r="L372" s="50"/>
      <c r="M372" s="50"/>
      <c r="N372" s="50"/>
      <c r="O372" s="50"/>
      <c r="P372" s="50"/>
      <c r="Q372" s="50"/>
      <c r="R372" s="51"/>
    </row>
    <row r="373" spans="1:18" ht="18" customHeight="1" x14ac:dyDescent="0.3">
      <c r="A373" s="18">
        <v>370</v>
      </c>
      <c r="B373" s="7">
        <f t="shared" ca="1" si="20"/>
        <v>44850.426605208333</v>
      </c>
      <c r="C373" s="8">
        <f t="shared" ca="1" si="21"/>
        <v>44850.426605208333</v>
      </c>
      <c r="D373" s="6" t="s">
        <v>388</v>
      </c>
      <c r="E373" s="6"/>
      <c r="F373" s="7">
        <f t="shared" si="22"/>
        <v>91</v>
      </c>
      <c r="G373" s="9">
        <f t="shared" ca="1" si="23"/>
        <v>-45595</v>
      </c>
      <c r="H373" s="9"/>
      <c r="I373" s="50"/>
      <c r="J373" s="50"/>
      <c r="K373" s="50"/>
      <c r="L373" s="50"/>
      <c r="M373" s="50"/>
      <c r="N373" s="50"/>
      <c r="O373" s="50"/>
      <c r="P373" s="50"/>
      <c r="Q373" s="50"/>
      <c r="R373" s="51"/>
    </row>
    <row r="374" spans="1:18" ht="18" customHeight="1" x14ac:dyDescent="0.3">
      <c r="A374" s="18">
        <v>371</v>
      </c>
      <c r="B374" s="7">
        <f t="shared" ca="1" si="20"/>
        <v>44850.426622453706</v>
      </c>
      <c r="C374" s="8">
        <f t="shared" ca="1" si="21"/>
        <v>44850.426622453706</v>
      </c>
      <c r="D374" s="6" t="s">
        <v>389</v>
      </c>
      <c r="E374" s="6"/>
      <c r="F374" s="7">
        <f t="shared" si="22"/>
        <v>91</v>
      </c>
      <c r="G374" s="9">
        <f t="shared" ca="1" si="23"/>
        <v>-45595</v>
      </c>
      <c r="H374" s="9"/>
      <c r="I374" s="50"/>
      <c r="J374" s="50"/>
      <c r="K374" s="50"/>
      <c r="L374" s="50"/>
      <c r="M374" s="50"/>
      <c r="N374" s="50"/>
      <c r="O374" s="50"/>
      <c r="P374" s="50"/>
      <c r="Q374" s="50"/>
      <c r="R374" s="51"/>
    </row>
    <row r="375" spans="1:18" ht="18" customHeight="1" x14ac:dyDescent="0.3">
      <c r="A375" s="18">
        <v>372</v>
      </c>
      <c r="B375" s="7">
        <f t="shared" ca="1" si="20"/>
        <v>44850.426638078701</v>
      </c>
      <c r="C375" s="8">
        <f t="shared" ca="1" si="21"/>
        <v>44850.426638078701</v>
      </c>
      <c r="D375" s="6" t="s">
        <v>390</v>
      </c>
      <c r="E375" s="6"/>
      <c r="F375" s="7">
        <f t="shared" si="22"/>
        <v>91</v>
      </c>
      <c r="G375" s="9">
        <f t="shared" ca="1" si="23"/>
        <v>-45595</v>
      </c>
      <c r="H375" s="9"/>
      <c r="I375" s="50"/>
      <c r="J375" s="50"/>
      <c r="K375" s="50"/>
      <c r="L375" s="50"/>
      <c r="M375" s="50"/>
      <c r="N375" s="50"/>
      <c r="O375" s="50"/>
      <c r="P375" s="50"/>
      <c r="Q375" s="50"/>
      <c r="R375" s="51"/>
    </row>
    <row r="376" spans="1:18" ht="18" customHeight="1" x14ac:dyDescent="0.3">
      <c r="A376" s="18">
        <v>373</v>
      </c>
      <c r="B376" s="7">
        <f t="shared" ca="1" si="20"/>
        <v>44850.426659259261</v>
      </c>
      <c r="C376" s="8">
        <f t="shared" ca="1" si="21"/>
        <v>44850.426659259261</v>
      </c>
      <c r="D376" s="6" t="s">
        <v>391</v>
      </c>
      <c r="E376" s="6"/>
      <c r="F376" s="7">
        <f t="shared" si="22"/>
        <v>91</v>
      </c>
      <c r="G376" s="9">
        <f t="shared" ca="1" si="23"/>
        <v>-45595</v>
      </c>
      <c r="H376" s="9"/>
      <c r="I376" s="50"/>
      <c r="J376" s="50"/>
      <c r="K376" s="50"/>
      <c r="L376" s="50"/>
      <c r="M376" s="50"/>
      <c r="N376" s="50"/>
      <c r="O376" s="50"/>
      <c r="P376" s="50"/>
      <c r="Q376" s="50"/>
      <c r="R376" s="51"/>
    </row>
    <row r="377" spans="1:18" ht="18" customHeight="1" x14ac:dyDescent="0.3">
      <c r="A377" s="18">
        <v>374</v>
      </c>
      <c r="B377" s="7">
        <f t="shared" ca="1" si="20"/>
        <v>44850.426675694442</v>
      </c>
      <c r="C377" s="8">
        <f t="shared" ca="1" si="21"/>
        <v>44850.426675694442</v>
      </c>
      <c r="D377" s="6" t="s">
        <v>392</v>
      </c>
      <c r="E377" s="6"/>
      <c r="F377" s="7">
        <f t="shared" si="22"/>
        <v>91</v>
      </c>
      <c r="G377" s="9">
        <f t="shared" ca="1" si="23"/>
        <v>-45595</v>
      </c>
      <c r="H377" s="9"/>
      <c r="I377" s="50"/>
      <c r="J377" s="50"/>
      <c r="K377" s="50"/>
      <c r="L377" s="50"/>
      <c r="M377" s="50"/>
      <c r="N377" s="50"/>
      <c r="O377" s="50"/>
      <c r="P377" s="50"/>
      <c r="Q377" s="50"/>
      <c r="R377" s="51"/>
    </row>
    <row r="378" spans="1:18" ht="18" customHeight="1" x14ac:dyDescent="0.3">
      <c r="A378" s="18">
        <v>375</v>
      </c>
      <c r="B378" s="7">
        <f t="shared" ca="1" si="20"/>
        <v>44850.426690624998</v>
      </c>
      <c r="C378" s="8">
        <f t="shared" ca="1" si="21"/>
        <v>44850.426690624998</v>
      </c>
      <c r="D378" s="6" t="s">
        <v>393</v>
      </c>
      <c r="E378" s="6"/>
      <c r="F378" s="7">
        <f t="shared" si="22"/>
        <v>91</v>
      </c>
      <c r="G378" s="9">
        <f t="shared" ca="1" si="23"/>
        <v>-45595</v>
      </c>
      <c r="H378" s="9"/>
      <c r="I378" s="50"/>
      <c r="J378" s="50"/>
      <c r="K378" s="50"/>
      <c r="L378" s="50"/>
      <c r="M378" s="50"/>
      <c r="N378" s="50"/>
      <c r="O378" s="50"/>
      <c r="P378" s="50"/>
      <c r="Q378" s="50"/>
      <c r="R378" s="51"/>
    </row>
    <row r="379" spans="1:18" ht="18" customHeight="1" x14ac:dyDescent="0.3">
      <c r="A379" s="18">
        <v>376</v>
      </c>
      <c r="B379" s="7">
        <f t="shared" ca="1" si="20"/>
        <v>44850.42672974537</v>
      </c>
      <c r="C379" s="8">
        <f t="shared" ca="1" si="21"/>
        <v>44850.42672974537</v>
      </c>
      <c r="D379" s="6" t="s">
        <v>394</v>
      </c>
      <c r="E379" s="6"/>
      <c r="F379" s="7">
        <f t="shared" si="22"/>
        <v>91</v>
      </c>
      <c r="G379" s="9">
        <f t="shared" ca="1" si="23"/>
        <v>-45595</v>
      </c>
      <c r="H379" s="9"/>
      <c r="I379" s="50"/>
      <c r="J379" s="50"/>
      <c r="K379" s="50"/>
      <c r="L379" s="50"/>
      <c r="M379" s="50"/>
      <c r="N379" s="50"/>
      <c r="O379" s="50"/>
      <c r="P379" s="50"/>
      <c r="Q379" s="50"/>
      <c r="R379" s="51"/>
    </row>
    <row r="380" spans="1:18" ht="18" customHeight="1" x14ac:dyDescent="0.3">
      <c r="A380" s="18">
        <v>377</v>
      </c>
      <c r="B380" s="7">
        <f t="shared" ca="1" si="20"/>
        <v>44850.42672974537</v>
      </c>
      <c r="C380" s="8">
        <f t="shared" ca="1" si="21"/>
        <v>44850.42672974537</v>
      </c>
      <c r="D380" s="6" t="s">
        <v>395</v>
      </c>
      <c r="E380" s="6"/>
      <c r="F380" s="7">
        <f t="shared" si="22"/>
        <v>91</v>
      </c>
      <c r="G380" s="9">
        <f t="shared" ca="1" si="23"/>
        <v>-45595</v>
      </c>
      <c r="H380" s="9"/>
      <c r="I380" s="50"/>
      <c r="J380" s="50"/>
      <c r="K380" s="50"/>
      <c r="L380" s="50"/>
      <c r="M380" s="50"/>
      <c r="N380" s="50"/>
      <c r="O380" s="50"/>
      <c r="P380" s="50"/>
      <c r="Q380" s="50"/>
      <c r="R380" s="51"/>
    </row>
    <row r="381" spans="1:18" ht="18" customHeight="1" x14ac:dyDescent="0.3">
      <c r="A381" s="18">
        <v>378</v>
      </c>
      <c r="B381" s="7">
        <f t="shared" ca="1" si="20"/>
        <v>44850.426744444441</v>
      </c>
      <c r="C381" s="8">
        <f t="shared" ca="1" si="21"/>
        <v>44850.426744444441</v>
      </c>
      <c r="D381" s="6" t="s">
        <v>396</v>
      </c>
      <c r="E381" s="6"/>
      <c r="F381" s="7">
        <f t="shared" si="22"/>
        <v>91</v>
      </c>
      <c r="G381" s="9">
        <f t="shared" ca="1" si="23"/>
        <v>-45595</v>
      </c>
      <c r="H381" s="9"/>
      <c r="I381" s="50"/>
      <c r="J381" s="50"/>
      <c r="K381" s="50"/>
      <c r="L381" s="50"/>
      <c r="M381" s="50"/>
      <c r="N381" s="50"/>
      <c r="O381" s="50"/>
      <c r="P381" s="50"/>
      <c r="Q381" s="50"/>
      <c r="R381" s="51"/>
    </row>
    <row r="382" spans="1:18" ht="18" customHeight="1" thickBot="1" x14ac:dyDescent="0.35">
      <c r="A382" s="19">
        <v>379</v>
      </c>
      <c r="B382" s="10">
        <f t="shared" ca="1" si="20"/>
        <v>44850.426760648152</v>
      </c>
      <c r="C382" s="11">
        <f t="shared" ca="1" si="21"/>
        <v>44850.426760648152</v>
      </c>
      <c r="D382" s="12" t="s">
        <v>467</v>
      </c>
      <c r="E382" s="12"/>
      <c r="F382" s="10">
        <f t="shared" si="22"/>
        <v>91</v>
      </c>
      <c r="G382" s="13">
        <f t="shared" ca="1" si="23"/>
        <v>-45595</v>
      </c>
      <c r="H382" s="9"/>
      <c r="I382" s="52"/>
      <c r="J382" s="52"/>
      <c r="K382" s="52"/>
      <c r="L382" s="52"/>
      <c r="M382" s="52"/>
      <c r="N382" s="52"/>
      <c r="O382" s="52"/>
      <c r="P382" s="52"/>
      <c r="Q382" s="52"/>
      <c r="R382" s="53"/>
    </row>
    <row r="383" spans="1:18" ht="18" customHeight="1" x14ac:dyDescent="0.3"/>
  </sheetData>
  <autoFilter ref="A3:H382" xr:uid="{C232CEF4-9573-4FAA-B04B-22B5D641E304}"/>
  <mergeCells count="763">
    <mergeCell ref="I3:M3"/>
    <mergeCell ref="A1:I2"/>
    <mergeCell ref="J1:J2"/>
    <mergeCell ref="K1:M2"/>
    <mergeCell ref="I7:M7"/>
    <mergeCell ref="I8:M8"/>
    <mergeCell ref="I9:M9"/>
    <mergeCell ref="I10:M10"/>
    <mergeCell ref="I11:M11"/>
    <mergeCell ref="I5:M5"/>
    <mergeCell ref="I6:M6"/>
    <mergeCell ref="I17:M17"/>
    <mergeCell ref="I18:M18"/>
    <mergeCell ref="I19:M19"/>
    <mergeCell ref="I20:M20"/>
    <mergeCell ref="I21:M21"/>
    <mergeCell ref="I12:M12"/>
    <mergeCell ref="I13:M13"/>
    <mergeCell ref="I14:M14"/>
    <mergeCell ref="I15:M15"/>
    <mergeCell ref="I16:M16"/>
    <mergeCell ref="I27:M27"/>
    <mergeCell ref="I28:M28"/>
    <mergeCell ref="I29:M29"/>
    <mergeCell ref="I30:M30"/>
    <mergeCell ref="I31:M31"/>
    <mergeCell ref="I22:M22"/>
    <mergeCell ref="I23:M23"/>
    <mergeCell ref="I24:M24"/>
    <mergeCell ref="I25:M25"/>
    <mergeCell ref="I26:M26"/>
    <mergeCell ref="I37:M37"/>
    <mergeCell ref="I38:M38"/>
    <mergeCell ref="I39:M39"/>
    <mergeCell ref="I40:M40"/>
    <mergeCell ref="I41:M41"/>
    <mergeCell ref="I32:M32"/>
    <mergeCell ref="I33:M33"/>
    <mergeCell ref="I34:M34"/>
    <mergeCell ref="I35:M35"/>
    <mergeCell ref="I36:M36"/>
    <mergeCell ref="I47:M47"/>
    <mergeCell ref="I48:M48"/>
    <mergeCell ref="I49:M49"/>
    <mergeCell ref="I50:M50"/>
    <mergeCell ref="I51:M51"/>
    <mergeCell ref="I42:M42"/>
    <mergeCell ref="I43:M43"/>
    <mergeCell ref="I44:M44"/>
    <mergeCell ref="I45:M45"/>
    <mergeCell ref="I46:M46"/>
    <mergeCell ref="I57:M57"/>
    <mergeCell ref="I58:M58"/>
    <mergeCell ref="I59:M59"/>
    <mergeCell ref="I60:M60"/>
    <mergeCell ref="I61:M61"/>
    <mergeCell ref="I52:M52"/>
    <mergeCell ref="I53:M53"/>
    <mergeCell ref="I54:M54"/>
    <mergeCell ref="I55:M55"/>
    <mergeCell ref="I56:M56"/>
    <mergeCell ref="I67:M67"/>
    <mergeCell ref="I68:M68"/>
    <mergeCell ref="I69:M69"/>
    <mergeCell ref="I70:M70"/>
    <mergeCell ref="I71:M71"/>
    <mergeCell ref="I62:M62"/>
    <mergeCell ref="I63:M63"/>
    <mergeCell ref="I64:M64"/>
    <mergeCell ref="I65:M65"/>
    <mergeCell ref="I66:M66"/>
    <mergeCell ref="I77:M77"/>
    <mergeCell ref="I78:M78"/>
    <mergeCell ref="I79:M79"/>
    <mergeCell ref="I80:M80"/>
    <mergeCell ref="I81:M81"/>
    <mergeCell ref="I72:M72"/>
    <mergeCell ref="I73:M73"/>
    <mergeCell ref="I74:M74"/>
    <mergeCell ref="I75:M75"/>
    <mergeCell ref="I76:M76"/>
    <mergeCell ref="I87:M87"/>
    <mergeCell ref="I88:M88"/>
    <mergeCell ref="I89:M89"/>
    <mergeCell ref="I90:M90"/>
    <mergeCell ref="I91:M91"/>
    <mergeCell ref="I82:M82"/>
    <mergeCell ref="I83:M83"/>
    <mergeCell ref="I84:M84"/>
    <mergeCell ref="I85:M85"/>
    <mergeCell ref="I86:M86"/>
    <mergeCell ref="I97:M97"/>
    <mergeCell ref="I98:M98"/>
    <mergeCell ref="I99:M99"/>
    <mergeCell ref="I100:M100"/>
    <mergeCell ref="I101:M101"/>
    <mergeCell ref="I92:M92"/>
    <mergeCell ref="I93:M93"/>
    <mergeCell ref="I94:M94"/>
    <mergeCell ref="I95:M95"/>
    <mergeCell ref="I96:M96"/>
    <mergeCell ref="I107:M107"/>
    <mergeCell ref="I108:M108"/>
    <mergeCell ref="I109:M109"/>
    <mergeCell ref="I110:M110"/>
    <mergeCell ref="I111:M111"/>
    <mergeCell ref="I102:M102"/>
    <mergeCell ref="I103:M103"/>
    <mergeCell ref="I104:M104"/>
    <mergeCell ref="I105:M105"/>
    <mergeCell ref="I106:M106"/>
    <mergeCell ref="I117:M117"/>
    <mergeCell ref="I118:M118"/>
    <mergeCell ref="I119:M119"/>
    <mergeCell ref="I120:M120"/>
    <mergeCell ref="I121:M121"/>
    <mergeCell ref="I112:M112"/>
    <mergeCell ref="I113:M113"/>
    <mergeCell ref="I114:M114"/>
    <mergeCell ref="I115:M115"/>
    <mergeCell ref="I116:M116"/>
    <mergeCell ref="I127:M127"/>
    <mergeCell ref="I128:M128"/>
    <mergeCell ref="I129:M129"/>
    <mergeCell ref="I130:M130"/>
    <mergeCell ref="I131:M131"/>
    <mergeCell ref="I122:M122"/>
    <mergeCell ref="I123:M123"/>
    <mergeCell ref="I124:M124"/>
    <mergeCell ref="I125:M125"/>
    <mergeCell ref="I126:M126"/>
    <mergeCell ref="I137:M137"/>
    <mergeCell ref="I138:M138"/>
    <mergeCell ref="I139:M139"/>
    <mergeCell ref="I140:M140"/>
    <mergeCell ref="I141:M141"/>
    <mergeCell ref="I132:M132"/>
    <mergeCell ref="I133:M133"/>
    <mergeCell ref="I134:M134"/>
    <mergeCell ref="I135:M135"/>
    <mergeCell ref="I136:M136"/>
    <mergeCell ref="I147:M147"/>
    <mergeCell ref="I148:M148"/>
    <mergeCell ref="I149:M149"/>
    <mergeCell ref="I150:M150"/>
    <mergeCell ref="I151:M151"/>
    <mergeCell ref="I142:M142"/>
    <mergeCell ref="I143:M143"/>
    <mergeCell ref="I144:M144"/>
    <mergeCell ref="I145:M145"/>
    <mergeCell ref="I146:M146"/>
    <mergeCell ref="I157:M157"/>
    <mergeCell ref="I158:M158"/>
    <mergeCell ref="I159:M159"/>
    <mergeCell ref="I160:M160"/>
    <mergeCell ref="I161:M161"/>
    <mergeCell ref="I152:M152"/>
    <mergeCell ref="I153:M153"/>
    <mergeCell ref="I154:M154"/>
    <mergeCell ref="I155:M155"/>
    <mergeCell ref="I156:M156"/>
    <mergeCell ref="I167:M167"/>
    <mergeCell ref="I168:M168"/>
    <mergeCell ref="I169:M169"/>
    <mergeCell ref="I170:M170"/>
    <mergeCell ref="I171:M171"/>
    <mergeCell ref="I162:M162"/>
    <mergeCell ref="I163:M163"/>
    <mergeCell ref="I164:M164"/>
    <mergeCell ref="I165:M165"/>
    <mergeCell ref="I166:M166"/>
    <mergeCell ref="I177:M177"/>
    <mergeCell ref="I178:M178"/>
    <mergeCell ref="I179:M179"/>
    <mergeCell ref="I180:M180"/>
    <mergeCell ref="I181:M181"/>
    <mergeCell ref="I172:M172"/>
    <mergeCell ref="I173:M173"/>
    <mergeCell ref="I174:M174"/>
    <mergeCell ref="I175:M175"/>
    <mergeCell ref="I176:M176"/>
    <mergeCell ref="I187:M187"/>
    <mergeCell ref="I188:M188"/>
    <mergeCell ref="I189:M189"/>
    <mergeCell ref="I190:M190"/>
    <mergeCell ref="I191:M191"/>
    <mergeCell ref="I182:M182"/>
    <mergeCell ref="I183:M183"/>
    <mergeCell ref="I184:M184"/>
    <mergeCell ref="I185:M185"/>
    <mergeCell ref="I186:M186"/>
    <mergeCell ref="I197:M197"/>
    <mergeCell ref="I198:M198"/>
    <mergeCell ref="I199:M199"/>
    <mergeCell ref="I200:M200"/>
    <mergeCell ref="I201:M201"/>
    <mergeCell ref="I192:M192"/>
    <mergeCell ref="I193:M193"/>
    <mergeCell ref="I194:M194"/>
    <mergeCell ref="I195:M195"/>
    <mergeCell ref="I196:M196"/>
    <mergeCell ref="I207:M207"/>
    <mergeCell ref="I208:M208"/>
    <mergeCell ref="I209:M209"/>
    <mergeCell ref="I210:M210"/>
    <mergeCell ref="I211:M211"/>
    <mergeCell ref="I202:M202"/>
    <mergeCell ref="I203:M203"/>
    <mergeCell ref="I204:M204"/>
    <mergeCell ref="I205:M205"/>
    <mergeCell ref="I206:M206"/>
    <mergeCell ref="I217:M217"/>
    <mergeCell ref="I218:M218"/>
    <mergeCell ref="I219:M219"/>
    <mergeCell ref="I220:M220"/>
    <mergeCell ref="I221:M221"/>
    <mergeCell ref="I212:M212"/>
    <mergeCell ref="I213:M213"/>
    <mergeCell ref="I214:M214"/>
    <mergeCell ref="I215:M215"/>
    <mergeCell ref="I216:M216"/>
    <mergeCell ref="I227:M227"/>
    <mergeCell ref="I228:M228"/>
    <mergeCell ref="I229:M229"/>
    <mergeCell ref="I230:M230"/>
    <mergeCell ref="I231:M231"/>
    <mergeCell ref="I222:M222"/>
    <mergeCell ref="I223:M223"/>
    <mergeCell ref="I224:M224"/>
    <mergeCell ref="I225:M225"/>
    <mergeCell ref="I226:M226"/>
    <mergeCell ref="I237:M237"/>
    <mergeCell ref="I238:M238"/>
    <mergeCell ref="I239:M239"/>
    <mergeCell ref="I240:M240"/>
    <mergeCell ref="I241:M241"/>
    <mergeCell ref="I232:M232"/>
    <mergeCell ref="I233:M233"/>
    <mergeCell ref="I234:M234"/>
    <mergeCell ref="I235:M235"/>
    <mergeCell ref="I236:M236"/>
    <mergeCell ref="I247:M247"/>
    <mergeCell ref="I248:M248"/>
    <mergeCell ref="I249:M249"/>
    <mergeCell ref="I250:M250"/>
    <mergeCell ref="I251:M251"/>
    <mergeCell ref="I242:M242"/>
    <mergeCell ref="I243:M243"/>
    <mergeCell ref="I244:M244"/>
    <mergeCell ref="I245:M245"/>
    <mergeCell ref="I246:M246"/>
    <mergeCell ref="I257:M257"/>
    <mergeCell ref="I258:M258"/>
    <mergeCell ref="I259:M259"/>
    <mergeCell ref="I260:M260"/>
    <mergeCell ref="I261:M261"/>
    <mergeCell ref="I252:M252"/>
    <mergeCell ref="I253:M253"/>
    <mergeCell ref="I254:M254"/>
    <mergeCell ref="I255:M255"/>
    <mergeCell ref="I256:M256"/>
    <mergeCell ref="I267:M267"/>
    <mergeCell ref="I268:M268"/>
    <mergeCell ref="I269:M269"/>
    <mergeCell ref="I270:M270"/>
    <mergeCell ref="I271:M271"/>
    <mergeCell ref="I262:M262"/>
    <mergeCell ref="I263:M263"/>
    <mergeCell ref="I264:M264"/>
    <mergeCell ref="I265:M265"/>
    <mergeCell ref="I266:M266"/>
    <mergeCell ref="I277:M277"/>
    <mergeCell ref="I278:M278"/>
    <mergeCell ref="I279:M279"/>
    <mergeCell ref="I280:M280"/>
    <mergeCell ref="I281:M281"/>
    <mergeCell ref="I272:M272"/>
    <mergeCell ref="I273:M273"/>
    <mergeCell ref="I274:M274"/>
    <mergeCell ref="I275:M275"/>
    <mergeCell ref="I276:M276"/>
    <mergeCell ref="I287:M287"/>
    <mergeCell ref="I288:M288"/>
    <mergeCell ref="I289:M289"/>
    <mergeCell ref="I290:M290"/>
    <mergeCell ref="I291:M291"/>
    <mergeCell ref="I282:M282"/>
    <mergeCell ref="I283:M283"/>
    <mergeCell ref="I284:M284"/>
    <mergeCell ref="I285:M285"/>
    <mergeCell ref="I286:M286"/>
    <mergeCell ref="I297:M297"/>
    <mergeCell ref="I298:M298"/>
    <mergeCell ref="I299:M299"/>
    <mergeCell ref="I300:M300"/>
    <mergeCell ref="I301:M301"/>
    <mergeCell ref="I292:M292"/>
    <mergeCell ref="I293:M293"/>
    <mergeCell ref="I294:M294"/>
    <mergeCell ref="I295:M295"/>
    <mergeCell ref="I296:M296"/>
    <mergeCell ref="I307:M307"/>
    <mergeCell ref="I308:M308"/>
    <mergeCell ref="I309:M309"/>
    <mergeCell ref="I310:M310"/>
    <mergeCell ref="I311:M311"/>
    <mergeCell ref="I302:M302"/>
    <mergeCell ref="I303:M303"/>
    <mergeCell ref="I304:M304"/>
    <mergeCell ref="I305:M305"/>
    <mergeCell ref="I306:M306"/>
    <mergeCell ref="I317:M317"/>
    <mergeCell ref="I318:M318"/>
    <mergeCell ref="I319:M319"/>
    <mergeCell ref="I320:M320"/>
    <mergeCell ref="I321:M321"/>
    <mergeCell ref="I312:M312"/>
    <mergeCell ref="I313:M313"/>
    <mergeCell ref="I314:M314"/>
    <mergeCell ref="I315:M315"/>
    <mergeCell ref="I316:M316"/>
    <mergeCell ref="I327:M327"/>
    <mergeCell ref="I328:M328"/>
    <mergeCell ref="I329:M329"/>
    <mergeCell ref="I330:M330"/>
    <mergeCell ref="I331:M331"/>
    <mergeCell ref="I322:M322"/>
    <mergeCell ref="I323:M323"/>
    <mergeCell ref="I324:M324"/>
    <mergeCell ref="I325:M325"/>
    <mergeCell ref="I326:M326"/>
    <mergeCell ref="I337:M337"/>
    <mergeCell ref="I338:M338"/>
    <mergeCell ref="I339:M339"/>
    <mergeCell ref="I340:M340"/>
    <mergeCell ref="I341:M341"/>
    <mergeCell ref="I332:M332"/>
    <mergeCell ref="I333:M333"/>
    <mergeCell ref="I334:M334"/>
    <mergeCell ref="I335:M335"/>
    <mergeCell ref="I336:M336"/>
    <mergeCell ref="I347:M347"/>
    <mergeCell ref="I348:M348"/>
    <mergeCell ref="I349:M349"/>
    <mergeCell ref="I350:M350"/>
    <mergeCell ref="I351:M351"/>
    <mergeCell ref="I342:M342"/>
    <mergeCell ref="I343:M343"/>
    <mergeCell ref="I344:M344"/>
    <mergeCell ref="I345:M345"/>
    <mergeCell ref="I346:M346"/>
    <mergeCell ref="I357:M357"/>
    <mergeCell ref="I358:M358"/>
    <mergeCell ref="I359:M359"/>
    <mergeCell ref="I360:M360"/>
    <mergeCell ref="I361:M361"/>
    <mergeCell ref="I352:M352"/>
    <mergeCell ref="I353:M353"/>
    <mergeCell ref="I354:M354"/>
    <mergeCell ref="I355:M355"/>
    <mergeCell ref="I356:M356"/>
    <mergeCell ref="I375:M375"/>
    <mergeCell ref="I376:M376"/>
    <mergeCell ref="I367:M367"/>
    <mergeCell ref="I368:M368"/>
    <mergeCell ref="I369:M369"/>
    <mergeCell ref="I370:M370"/>
    <mergeCell ref="I371:M371"/>
    <mergeCell ref="I362:M362"/>
    <mergeCell ref="I363:M363"/>
    <mergeCell ref="I364:M364"/>
    <mergeCell ref="I365:M365"/>
    <mergeCell ref="I366:M366"/>
    <mergeCell ref="I382:M382"/>
    <mergeCell ref="N5:R5"/>
    <mergeCell ref="N6:R6"/>
    <mergeCell ref="N7:R7"/>
    <mergeCell ref="N8:R8"/>
    <mergeCell ref="N9:R9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I377:M377"/>
    <mergeCell ref="I378:M378"/>
    <mergeCell ref="I379:M379"/>
    <mergeCell ref="I380:M380"/>
    <mergeCell ref="I381:M381"/>
    <mergeCell ref="I372:M372"/>
    <mergeCell ref="I373:M373"/>
    <mergeCell ref="I374:M374"/>
    <mergeCell ref="N25:R25"/>
    <mergeCell ref="N26:R26"/>
    <mergeCell ref="N27:R27"/>
    <mergeCell ref="N28:R28"/>
    <mergeCell ref="N29:R29"/>
    <mergeCell ref="N20:R20"/>
    <mergeCell ref="N21:R21"/>
    <mergeCell ref="N22:R22"/>
    <mergeCell ref="N23:R23"/>
    <mergeCell ref="N24:R24"/>
    <mergeCell ref="N35:R35"/>
    <mergeCell ref="N36:R36"/>
    <mergeCell ref="N37:R37"/>
    <mergeCell ref="N38:R38"/>
    <mergeCell ref="N39:R39"/>
    <mergeCell ref="N30:R30"/>
    <mergeCell ref="N31:R31"/>
    <mergeCell ref="N32:R32"/>
    <mergeCell ref="N33:R33"/>
    <mergeCell ref="N34:R34"/>
    <mergeCell ref="N45:R45"/>
    <mergeCell ref="N46:R46"/>
    <mergeCell ref="N47:R47"/>
    <mergeCell ref="N48:R48"/>
    <mergeCell ref="N49:R49"/>
    <mergeCell ref="N40:R40"/>
    <mergeCell ref="N41:R41"/>
    <mergeCell ref="N42:R42"/>
    <mergeCell ref="N43:R43"/>
    <mergeCell ref="N44:R44"/>
    <mergeCell ref="N55:R55"/>
    <mergeCell ref="N56:R56"/>
    <mergeCell ref="N57:R57"/>
    <mergeCell ref="N58:R58"/>
    <mergeCell ref="N59:R59"/>
    <mergeCell ref="N50:R50"/>
    <mergeCell ref="N51:R51"/>
    <mergeCell ref="N52:R52"/>
    <mergeCell ref="N53:R53"/>
    <mergeCell ref="N54:R54"/>
    <mergeCell ref="N65:R65"/>
    <mergeCell ref="N66:R66"/>
    <mergeCell ref="N67:R67"/>
    <mergeCell ref="N68:R68"/>
    <mergeCell ref="N69:R69"/>
    <mergeCell ref="N60:R60"/>
    <mergeCell ref="N61:R61"/>
    <mergeCell ref="N62:R62"/>
    <mergeCell ref="N63:R63"/>
    <mergeCell ref="N64:R64"/>
    <mergeCell ref="N75:R75"/>
    <mergeCell ref="N76:R76"/>
    <mergeCell ref="N77:R77"/>
    <mergeCell ref="N78:R78"/>
    <mergeCell ref="N79:R79"/>
    <mergeCell ref="N70:R70"/>
    <mergeCell ref="N71:R71"/>
    <mergeCell ref="N72:R72"/>
    <mergeCell ref="N73:R73"/>
    <mergeCell ref="N74:R74"/>
    <mergeCell ref="N85:R85"/>
    <mergeCell ref="N86:R86"/>
    <mergeCell ref="N87:R87"/>
    <mergeCell ref="N88:R88"/>
    <mergeCell ref="N89:R89"/>
    <mergeCell ref="N80:R80"/>
    <mergeCell ref="N81:R81"/>
    <mergeCell ref="N82:R82"/>
    <mergeCell ref="N83:R83"/>
    <mergeCell ref="N84:R84"/>
    <mergeCell ref="N95:R95"/>
    <mergeCell ref="N96:R96"/>
    <mergeCell ref="N97:R97"/>
    <mergeCell ref="N98:R98"/>
    <mergeCell ref="N99:R99"/>
    <mergeCell ref="N90:R90"/>
    <mergeCell ref="N91:R91"/>
    <mergeCell ref="N92:R92"/>
    <mergeCell ref="N93:R93"/>
    <mergeCell ref="N94:R94"/>
    <mergeCell ref="N105:R105"/>
    <mergeCell ref="N106:R106"/>
    <mergeCell ref="N107:R107"/>
    <mergeCell ref="N108:R108"/>
    <mergeCell ref="N109:R109"/>
    <mergeCell ref="N100:R100"/>
    <mergeCell ref="N101:R101"/>
    <mergeCell ref="N102:R102"/>
    <mergeCell ref="N103:R103"/>
    <mergeCell ref="N104:R104"/>
    <mergeCell ref="N115:R115"/>
    <mergeCell ref="N116:R116"/>
    <mergeCell ref="N117:R117"/>
    <mergeCell ref="N118:R118"/>
    <mergeCell ref="N119:R119"/>
    <mergeCell ref="N110:R110"/>
    <mergeCell ref="N111:R111"/>
    <mergeCell ref="N112:R112"/>
    <mergeCell ref="N113:R113"/>
    <mergeCell ref="N114:R114"/>
    <mergeCell ref="N125:R125"/>
    <mergeCell ref="N126:R126"/>
    <mergeCell ref="N127:R127"/>
    <mergeCell ref="N128:R128"/>
    <mergeCell ref="N129:R129"/>
    <mergeCell ref="N120:R120"/>
    <mergeCell ref="N121:R121"/>
    <mergeCell ref="N122:R122"/>
    <mergeCell ref="N123:R123"/>
    <mergeCell ref="N124:R124"/>
    <mergeCell ref="N135:R135"/>
    <mergeCell ref="N136:R136"/>
    <mergeCell ref="N137:R137"/>
    <mergeCell ref="N138:R138"/>
    <mergeCell ref="N139:R139"/>
    <mergeCell ref="N130:R130"/>
    <mergeCell ref="N131:R131"/>
    <mergeCell ref="N132:R132"/>
    <mergeCell ref="N133:R133"/>
    <mergeCell ref="N134:R134"/>
    <mergeCell ref="N145:R145"/>
    <mergeCell ref="N146:R146"/>
    <mergeCell ref="N147:R147"/>
    <mergeCell ref="N148:R148"/>
    <mergeCell ref="N149:R149"/>
    <mergeCell ref="N140:R140"/>
    <mergeCell ref="N141:R141"/>
    <mergeCell ref="N142:R142"/>
    <mergeCell ref="N143:R143"/>
    <mergeCell ref="N144:R144"/>
    <mergeCell ref="N155:R155"/>
    <mergeCell ref="N156:R156"/>
    <mergeCell ref="N157:R157"/>
    <mergeCell ref="N158:R158"/>
    <mergeCell ref="N159:R159"/>
    <mergeCell ref="N150:R150"/>
    <mergeCell ref="N151:R151"/>
    <mergeCell ref="N152:R152"/>
    <mergeCell ref="N153:R153"/>
    <mergeCell ref="N154:R154"/>
    <mergeCell ref="N165:R165"/>
    <mergeCell ref="N166:R166"/>
    <mergeCell ref="N167:R167"/>
    <mergeCell ref="N168:R168"/>
    <mergeCell ref="N169:R169"/>
    <mergeCell ref="N160:R160"/>
    <mergeCell ref="N161:R161"/>
    <mergeCell ref="N162:R162"/>
    <mergeCell ref="N163:R163"/>
    <mergeCell ref="N164:R164"/>
    <mergeCell ref="N175:R175"/>
    <mergeCell ref="N176:R176"/>
    <mergeCell ref="N177:R177"/>
    <mergeCell ref="N178:R178"/>
    <mergeCell ref="N179:R179"/>
    <mergeCell ref="N170:R170"/>
    <mergeCell ref="N171:R171"/>
    <mergeCell ref="N172:R172"/>
    <mergeCell ref="N173:R173"/>
    <mergeCell ref="N174:R174"/>
    <mergeCell ref="N185:R185"/>
    <mergeCell ref="N186:R186"/>
    <mergeCell ref="N187:R187"/>
    <mergeCell ref="N188:R188"/>
    <mergeCell ref="N189:R189"/>
    <mergeCell ref="N180:R180"/>
    <mergeCell ref="N181:R181"/>
    <mergeCell ref="N182:R182"/>
    <mergeCell ref="N183:R183"/>
    <mergeCell ref="N184:R184"/>
    <mergeCell ref="N195:R195"/>
    <mergeCell ref="N196:R196"/>
    <mergeCell ref="N197:R197"/>
    <mergeCell ref="N198:R198"/>
    <mergeCell ref="N199:R199"/>
    <mergeCell ref="N190:R190"/>
    <mergeCell ref="N191:R191"/>
    <mergeCell ref="N192:R192"/>
    <mergeCell ref="N193:R193"/>
    <mergeCell ref="N194:R194"/>
    <mergeCell ref="N205:R205"/>
    <mergeCell ref="N206:R206"/>
    <mergeCell ref="N207:R207"/>
    <mergeCell ref="N208:R208"/>
    <mergeCell ref="N209:R209"/>
    <mergeCell ref="N200:R200"/>
    <mergeCell ref="N201:R201"/>
    <mergeCell ref="N202:R202"/>
    <mergeCell ref="N203:R203"/>
    <mergeCell ref="N204:R204"/>
    <mergeCell ref="N215:R215"/>
    <mergeCell ref="N216:R216"/>
    <mergeCell ref="N217:R217"/>
    <mergeCell ref="N218:R218"/>
    <mergeCell ref="N219:R219"/>
    <mergeCell ref="N210:R210"/>
    <mergeCell ref="N211:R211"/>
    <mergeCell ref="N212:R212"/>
    <mergeCell ref="N213:R213"/>
    <mergeCell ref="N214:R214"/>
    <mergeCell ref="N225:R225"/>
    <mergeCell ref="N226:R226"/>
    <mergeCell ref="N227:R227"/>
    <mergeCell ref="N228:R228"/>
    <mergeCell ref="N229:R229"/>
    <mergeCell ref="N220:R220"/>
    <mergeCell ref="N221:R221"/>
    <mergeCell ref="N222:R222"/>
    <mergeCell ref="N223:R223"/>
    <mergeCell ref="N224:R224"/>
    <mergeCell ref="N235:R235"/>
    <mergeCell ref="N236:R236"/>
    <mergeCell ref="N237:R237"/>
    <mergeCell ref="N238:R238"/>
    <mergeCell ref="N239:R239"/>
    <mergeCell ref="N230:R230"/>
    <mergeCell ref="N231:R231"/>
    <mergeCell ref="N232:R232"/>
    <mergeCell ref="N233:R233"/>
    <mergeCell ref="N234:R234"/>
    <mergeCell ref="N245:R245"/>
    <mergeCell ref="N246:R246"/>
    <mergeCell ref="N247:R247"/>
    <mergeCell ref="N248:R248"/>
    <mergeCell ref="N249:R249"/>
    <mergeCell ref="N240:R240"/>
    <mergeCell ref="N241:R241"/>
    <mergeCell ref="N242:R242"/>
    <mergeCell ref="N243:R243"/>
    <mergeCell ref="N244:R244"/>
    <mergeCell ref="N255:R255"/>
    <mergeCell ref="N256:R256"/>
    <mergeCell ref="N257:R257"/>
    <mergeCell ref="N258:R258"/>
    <mergeCell ref="N259:R259"/>
    <mergeCell ref="N250:R250"/>
    <mergeCell ref="N251:R251"/>
    <mergeCell ref="N252:R252"/>
    <mergeCell ref="N253:R253"/>
    <mergeCell ref="N254:R254"/>
    <mergeCell ref="N265:R265"/>
    <mergeCell ref="N266:R266"/>
    <mergeCell ref="N267:R267"/>
    <mergeCell ref="N268:R268"/>
    <mergeCell ref="N269:R269"/>
    <mergeCell ref="N260:R260"/>
    <mergeCell ref="N261:R261"/>
    <mergeCell ref="N262:R262"/>
    <mergeCell ref="N263:R263"/>
    <mergeCell ref="N264:R264"/>
    <mergeCell ref="N275:R275"/>
    <mergeCell ref="N276:R276"/>
    <mergeCell ref="N277:R277"/>
    <mergeCell ref="N278:R278"/>
    <mergeCell ref="N279:R279"/>
    <mergeCell ref="N270:R270"/>
    <mergeCell ref="N271:R271"/>
    <mergeCell ref="N272:R272"/>
    <mergeCell ref="N273:R273"/>
    <mergeCell ref="N274:R274"/>
    <mergeCell ref="N285:R285"/>
    <mergeCell ref="N286:R286"/>
    <mergeCell ref="N287:R287"/>
    <mergeCell ref="N288:R288"/>
    <mergeCell ref="N289:R289"/>
    <mergeCell ref="N280:R280"/>
    <mergeCell ref="N281:R281"/>
    <mergeCell ref="N282:R282"/>
    <mergeCell ref="N283:R283"/>
    <mergeCell ref="N284:R284"/>
    <mergeCell ref="N295:R295"/>
    <mergeCell ref="N296:R296"/>
    <mergeCell ref="N297:R297"/>
    <mergeCell ref="N298:R298"/>
    <mergeCell ref="N299:R299"/>
    <mergeCell ref="N290:R290"/>
    <mergeCell ref="N291:R291"/>
    <mergeCell ref="N292:R292"/>
    <mergeCell ref="N293:R293"/>
    <mergeCell ref="N294:R294"/>
    <mergeCell ref="N305:R305"/>
    <mergeCell ref="N306:R306"/>
    <mergeCell ref="N307:R307"/>
    <mergeCell ref="N308:R308"/>
    <mergeCell ref="N309:R309"/>
    <mergeCell ref="N300:R300"/>
    <mergeCell ref="N301:R301"/>
    <mergeCell ref="N302:R302"/>
    <mergeCell ref="N303:R303"/>
    <mergeCell ref="N304:R304"/>
    <mergeCell ref="N315:R315"/>
    <mergeCell ref="N316:R316"/>
    <mergeCell ref="N317:R317"/>
    <mergeCell ref="N318:R318"/>
    <mergeCell ref="N319:R319"/>
    <mergeCell ref="N310:R310"/>
    <mergeCell ref="N311:R311"/>
    <mergeCell ref="N312:R312"/>
    <mergeCell ref="N313:R313"/>
    <mergeCell ref="N314:R314"/>
    <mergeCell ref="N325:R325"/>
    <mergeCell ref="N326:R326"/>
    <mergeCell ref="N327:R327"/>
    <mergeCell ref="N328:R328"/>
    <mergeCell ref="N329:R329"/>
    <mergeCell ref="N320:R320"/>
    <mergeCell ref="N321:R321"/>
    <mergeCell ref="N322:R322"/>
    <mergeCell ref="N323:R323"/>
    <mergeCell ref="N324:R324"/>
    <mergeCell ref="N335:R335"/>
    <mergeCell ref="N336:R336"/>
    <mergeCell ref="N337:R337"/>
    <mergeCell ref="N338:R338"/>
    <mergeCell ref="N339:R339"/>
    <mergeCell ref="N330:R330"/>
    <mergeCell ref="N331:R331"/>
    <mergeCell ref="N332:R332"/>
    <mergeCell ref="N333:R333"/>
    <mergeCell ref="N334:R334"/>
    <mergeCell ref="N345:R345"/>
    <mergeCell ref="N346:R346"/>
    <mergeCell ref="N347:R347"/>
    <mergeCell ref="N348:R348"/>
    <mergeCell ref="N349:R349"/>
    <mergeCell ref="N340:R340"/>
    <mergeCell ref="N341:R341"/>
    <mergeCell ref="N342:R342"/>
    <mergeCell ref="N343:R343"/>
    <mergeCell ref="N344:R344"/>
    <mergeCell ref="N363:R363"/>
    <mergeCell ref="N364:R364"/>
    <mergeCell ref="N355:R355"/>
    <mergeCell ref="N356:R356"/>
    <mergeCell ref="N357:R357"/>
    <mergeCell ref="N358:R358"/>
    <mergeCell ref="N359:R359"/>
    <mergeCell ref="N350:R350"/>
    <mergeCell ref="N351:R351"/>
    <mergeCell ref="N352:R352"/>
    <mergeCell ref="N353:R353"/>
    <mergeCell ref="N354:R354"/>
    <mergeCell ref="N380:R380"/>
    <mergeCell ref="N381:R381"/>
    <mergeCell ref="N382:R382"/>
    <mergeCell ref="N1:R3"/>
    <mergeCell ref="I4:M4"/>
    <mergeCell ref="N4:R4"/>
    <mergeCell ref="N375:R375"/>
    <mergeCell ref="N376:R376"/>
    <mergeCell ref="N377:R377"/>
    <mergeCell ref="N378:R378"/>
    <mergeCell ref="N379:R379"/>
    <mergeCell ref="N370:R370"/>
    <mergeCell ref="N371:R371"/>
    <mergeCell ref="N372:R372"/>
    <mergeCell ref="N373:R373"/>
    <mergeCell ref="N374:R374"/>
    <mergeCell ref="N365:R365"/>
    <mergeCell ref="N366:R366"/>
    <mergeCell ref="N367:R367"/>
    <mergeCell ref="N368:R368"/>
    <mergeCell ref="N369:R369"/>
    <mergeCell ref="N360:R360"/>
    <mergeCell ref="N361:R361"/>
    <mergeCell ref="N362:R362"/>
  </mergeCells>
  <conditionalFormatting sqref="J1">
    <cfRule type="duplicateValues" dxfId="117" priority="6"/>
  </conditionalFormatting>
  <conditionalFormatting sqref="J1">
    <cfRule type="duplicateValues" dxfId="116" priority="5"/>
  </conditionalFormatting>
  <conditionalFormatting sqref="D5:D382 K1">
    <cfRule type="duplicateValues" dxfId="115" priority="4"/>
  </conditionalFormatting>
  <conditionalFormatting sqref="D4">
    <cfRule type="duplicateValues" dxfId="114" priority="2"/>
  </conditionalFormatting>
  <conditionalFormatting sqref="D4:D382 K1:M2">
    <cfRule type="duplicateValues" dxfId="113" priority="1"/>
  </conditionalFormatting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94B0B-526C-4570-8F55-5069BAAF7210}">
          <x14:formula1>
            <xm:f>'Feeder Finger'!$T$1:$W$1</xm:f>
          </x14:formula1>
          <xm:sqref>H4:H382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01"/>
  <sheetViews>
    <sheetView topLeftCell="A36" workbookViewId="0">
      <selection activeCell="D4" sqref="D4:D58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ht="14.4" customHeight="1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41"/>
      <c r="O1" s="41"/>
      <c r="P1" s="41"/>
      <c r="Q1" s="41"/>
      <c r="R1" s="4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43"/>
      <c r="O2" s="43"/>
      <c r="P2" s="43"/>
      <c r="Q2" s="43"/>
      <c r="R2" s="44"/>
    </row>
    <row r="3" spans="1:23" ht="28.8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43"/>
      <c r="O3" s="43"/>
      <c r="P3" s="43"/>
      <c r="Q3" s="43"/>
      <c r="R3" s="44"/>
    </row>
    <row r="4" spans="1:23" ht="18" customHeight="1" x14ac:dyDescent="0.3">
      <c r="A4" s="18">
        <v>1</v>
      </c>
      <c r="B4" s="7">
        <f ca="1">IF(D4 &lt;&gt;"", IF(C4 ="", NOW(), C4), "")</f>
        <v>44850.389874074077</v>
      </c>
      <c r="C4" s="8">
        <f ca="1">IF(D4 &lt;&gt;"", IF(C4 ="", NOW(), C4), "")</f>
        <v>44850.389874074077</v>
      </c>
      <c r="D4" s="6" t="s">
        <v>400</v>
      </c>
      <c r="E4" s="7">
        <v>44854</v>
      </c>
      <c r="F4" s="7">
        <f t="shared" ref="F4" si="0">EDATE(E4,3)-0</f>
        <v>44946</v>
      </c>
      <c r="G4" s="9">
        <f t="shared" ref="G4" ca="1" si="1">E4-TODAY()</f>
        <v>-741</v>
      </c>
      <c r="H4" s="9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23" ht="18" customHeight="1" x14ac:dyDescent="0.3">
      <c r="A5" s="18">
        <v>2</v>
      </c>
      <c r="B5" s="7">
        <f t="shared" ref="B5:B68" ca="1" si="2">IF(D5 &lt;&gt;"", IF(C5 ="", NOW(), C5), "")</f>
        <v>44850.389999768522</v>
      </c>
      <c r="C5" s="8">
        <f t="shared" ref="C5:C68" ca="1" si="3">IF(D5 &lt;&gt;"", IF(C5 ="", NOW(), C5), "")</f>
        <v>44850.389999768522</v>
      </c>
      <c r="D5" s="6" t="s">
        <v>397</v>
      </c>
      <c r="E5" s="17"/>
      <c r="F5" s="17"/>
      <c r="G5" s="17"/>
      <c r="H5" s="9"/>
      <c r="I5" s="67"/>
      <c r="J5" s="67"/>
      <c r="K5" s="67"/>
      <c r="L5" s="67"/>
      <c r="M5" s="67"/>
      <c r="N5" s="67"/>
      <c r="O5" s="67"/>
      <c r="P5" s="67"/>
      <c r="Q5" s="67"/>
      <c r="R5" s="68"/>
    </row>
    <row r="6" spans="1:23" ht="18" customHeight="1" x14ac:dyDescent="0.3">
      <c r="A6" s="18">
        <v>3</v>
      </c>
      <c r="B6" s="7">
        <f t="shared" ca="1" si="2"/>
        <v>44850.390032870368</v>
      </c>
      <c r="C6" s="8">
        <f t="shared" ca="1" si="3"/>
        <v>44850.390032870368</v>
      </c>
      <c r="D6" s="6" t="s">
        <v>398</v>
      </c>
      <c r="E6" s="17"/>
      <c r="F6" s="17"/>
      <c r="G6" s="17"/>
      <c r="H6" s="9"/>
      <c r="I6" s="67"/>
      <c r="J6" s="67"/>
      <c r="K6" s="67"/>
      <c r="L6" s="67"/>
      <c r="M6" s="67"/>
      <c r="N6" s="67"/>
      <c r="O6" s="67"/>
      <c r="P6" s="67"/>
      <c r="Q6" s="67"/>
      <c r="R6" s="68"/>
    </row>
    <row r="7" spans="1:23" ht="18" customHeight="1" x14ac:dyDescent="0.3">
      <c r="A7" s="18">
        <v>4</v>
      </c>
      <c r="B7" s="7">
        <f t="shared" ca="1" si="2"/>
        <v>44850.390056597222</v>
      </c>
      <c r="C7" s="8">
        <f t="shared" ca="1" si="3"/>
        <v>44850.390056597222</v>
      </c>
      <c r="D7" s="6" t="s">
        <v>401</v>
      </c>
      <c r="E7" s="17"/>
      <c r="F7" s="17"/>
      <c r="G7" s="17"/>
      <c r="H7" s="9"/>
      <c r="I7" s="67"/>
      <c r="J7" s="67"/>
      <c r="K7" s="67"/>
      <c r="L7" s="67"/>
      <c r="M7" s="67"/>
      <c r="N7" s="67"/>
      <c r="O7" s="67"/>
      <c r="P7" s="67"/>
      <c r="Q7" s="67"/>
      <c r="R7" s="68"/>
    </row>
    <row r="8" spans="1:23" ht="18" customHeight="1" x14ac:dyDescent="0.3">
      <c r="A8" s="18">
        <v>5</v>
      </c>
      <c r="B8" s="7">
        <f t="shared" ca="1" si="2"/>
        <v>44850.390078819444</v>
      </c>
      <c r="C8" s="8">
        <f t="shared" ca="1" si="3"/>
        <v>44850.390078819444</v>
      </c>
      <c r="D8" s="6" t="s">
        <v>402</v>
      </c>
      <c r="E8" s="17"/>
      <c r="F8" s="17"/>
      <c r="G8" s="17"/>
      <c r="H8" s="9"/>
      <c r="I8" s="67"/>
      <c r="J8" s="67"/>
      <c r="K8" s="67"/>
      <c r="L8" s="67"/>
      <c r="M8" s="67"/>
      <c r="N8" s="67"/>
      <c r="O8" s="67"/>
      <c r="P8" s="67"/>
      <c r="Q8" s="67"/>
      <c r="R8" s="68"/>
    </row>
    <row r="9" spans="1:23" ht="18" customHeight="1" x14ac:dyDescent="0.3">
      <c r="A9" s="18">
        <v>6</v>
      </c>
      <c r="B9" s="7">
        <f t="shared" ca="1" si="2"/>
        <v>44850.390104513892</v>
      </c>
      <c r="C9" s="8">
        <f t="shared" ca="1" si="3"/>
        <v>44850.390104513892</v>
      </c>
      <c r="D9" s="6" t="s">
        <v>403</v>
      </c>
      <c r="E9" s="17"/>
      <c r="F9" s="17"/>
      <c r="G9" s="17"/>
      <c r="H9" s="9"/>
      <c r="I9" s="67"/>
      <c r="J9" s="67"/>
      <c r="K9" s="67"/>
      <c r="L9" s="67"/>
      <c r="M9" s="67"/>
      <c r="N9" s="67"/>
      <c r="O9" s="67"/>
      <c r="P9" s="67"/>
      <c r="Q9" s="67"/>
      <c r="R9" s="68"/>
    </row>
    <row r="10" spans="1:23" ht="18" customHeight="1" x14ac:dyDescent="0.3">
      <c r="A10" s="18">
        <v>7</v>
      </c>
      <c r="B10" s="7">
        <f t="shared" ca="1" si="2"/>
        <v>44850.390128819447</v>
      </c>
      <c r="C10" s="8">
        <f t="shared" ca="1" si="3"/>
        <v>44850.390128819447</v>
      </c>
      <c r="D10" s="6" t="s">
        <v>404</v>
      </c>
      <c r="E10" s="17"/>
      <c r="F10" s="17"/>
      <c r="G10" s="17"/>
      <c r="H10" s="9"/>
      <c r="I10" s="67"/>
      <c r="J10" s="67"/>
      <c r="K10" s="67"/>
      <c r="L10" s="67"/>
      <c r="M10" s="67"/>
      <c r="N10" s="67"/>
      <c r="O10" s="67"/>
      <c r="P10" s="67"/>
      <c r="Q10" s="67"/>
      <c r="R10" s="68"/>
    </row>
    <row r="11" spans="1:23" ht="18" customHeight="1" x14ac:dyDescent="0.3">
      <c r="A11" s="18">
        <v>8</v>
      </c>
      <c r="B11" s="7">
        <f t="shared" ca="1" si="2"/>
        <v>44850.390154513887</v>
      </c>
      <c r="C11" s="8">
        <f t="shared" ca="1" si="3"/>
        <v>44850.390154513887</v>
      </c>
      <c r="D11" s="6" t="s">
        <v>405</v>
      </c>
      <c r="E11" s="17"/>
      <c r="F11" s="17"/>
      <c r="G11" s="17"/>
      <c r="H11" s="9"/>
      <c r="I11" s="67"/>
      <c r="J11" s="67"/>
      <c r="K11" s="67"/>
      <c r="L11" s="67"/>
      <c r="M11" s="67"/>
      <c r="N11" s="67"/>
      <c r="O11" s="67"/>
      <c r="P11" s="67"/>
      <c r="Q11" s="67"/>
      <c r="R11" s="68"/>
    </row>
    <row r="12" spans="1:23" ht="18" customHeight="1" x14ac:dyDescent="0.3">
      <c r="A12" s="18">
        <v>9</v>
      </c>
      <c r="B12" s="7">
        <f t="shared" ca="1" si="2"/>
        <v>44850.39024108796</v>
      </c>
      <c r="C12" s="8">
        <f t="shared" ca="1" si="3"/>
        <v>44850.39024108796</v>
      </c>
      <c r="D12" s="6" t="s">
        <v>406</v>
      </c>
      <c r="E12" s="17"/>
      <c r="F12" s="17"/>
      <c r="G12" s="17"/>
      <c r="H12" s="9"/>
      <c r="I12" s="67"/>
      <c r="J12" s="67"/>
      <c r="K12" s="67"/>
      <c r="L12" s="67"/>
      <c r="M12" s="67"/>
      <c r="N12" s="67"/>
      <c r="O12" s="67"/>
      <c r="P12" s="67"/>
      <c r="Q12" s="67"/>
      <c r="R12" s="68"/>
    </row>
    <row r="13" spans="1:23" ht="18" customHeight="1" x14ac:dyDescent="0.3">
      <c r="A13" s="18">
        <v>10</v>
      </c>
      <c r="B13" s="7">
        <f t="shared" ca="1" si="2"/>
        <v>44850.390276157406</v>
      </c>
      <c r="C13" s="8">
        <f t="shared" ca="1" si="3"/>
        <v>44850.390276157406</v>
      </c>
      <c r="D13" s="6" t="s">
        <v>407</v>
      </c>
      <c r="E13" s="17"/>
      <c r="F13" s="17"/>
      <c r="G13" s="17"/>
      <c r="H13" s="9"/>
      <c r="I13" s="67"/>
      <c r="J13" s="67"/>
      <c r="K13" s="67"/>
      <c r="L13" s="67"/>
      <c r="M13" s="67"/>
      <c r="N13" s="67"/>
      <c r="O13" s="67"/>
      <c r="P13" s="67"/>
      <c r="Q13" s="67"/>
      <c r="R13" s="68"/>
    </row>
    <row r="14" spans="1:23" ht="18" customHeight="1" x14ac:dyDescent="0.3">
      <c r="A14" s="18">
        <v>11</v>
      </c>
      <c r="B14" s="7">
        <f t="shared" ca="1" si="2"/>
        <v>44850.390301041669</v>
      </c>
      <c r="C14" s="8">
        <f t="shared" ca="1" si="3"/>
        <v>44850.390301041669</v>
      </c>
      <c r="D14" s="6" t="s">
        <v>408</v>
      </c>
      <c r="E14" s="17"/>
      <c r="F14" s="17"/>
      <c r="G14" s="17"/>
      <c r="H14" s="9"/>
      <c r="I14" s="67"/>
      <c r="J14" s="67"/>
      <c r="K14" s="67"/>
      <c r="L14" s="67"/>
      <c r="M14" s="67"/>
      <c r="N14" s="67"/>
      <c r="O14" s="67"/>
      <c r="P14" s="67"/>
      <c r="Q14" s="67"/>
      <c r="R14" s="68"/>
    </row>
    <row r="15" spans="1:23" ht="18" customHeight="1" x14ac:dyDescent="0.3">
      <c r="A15" s="18">
        <v>12</v>
      </c>
      <c r="B15" s="7">
        <f t="shared" ca="1" si="2"/>
        <v>44850.390325925924</v>
      </c>
      <c r="C15" s="8">
        <f t="shared" ca="1" si="3"/>
        <v>44850.390325925924</v>
      </c>
      <c r="D15" s="6" t="s">
        <v>409</v>
      </c>
      <c r="E15" s="17"/>
      <c r="F15" s="17"/>
      <c r="G15" s="17"/>
      <c r="H15" s="9"/>
      <c r="I15" s="67"/>
      <c r="J15" s="67"/>
      <c r="K15" s="67"/>
      <c r="L15" s="67"/>
      <c r="M15" s="67"/>
      <c r="N15" s="67"/>
      <c r="O15" s="67"/>
      <c r="P15" s="67"/>
      <c r="Q15" s="67"/>
      <c r="R15" s="68"/>
    </row>
    <row r="16" spans="1:23" ht="18" customHeight="1" x14ac:dyDescent="0.3">
      <c r="A16" s="18">
        <v>13</v>
      </c>
      <c r="B16" s="7">
        <f t="shared" ca="1" si="2"/>
        <v>44850.390348611108</v>
      </c>
      <c r="C16" s="8">
        <f t="shared" ca="1" si="3"/>
        <v>44850.390348611108</v>
      </c>
      <c r="D16" s="6" t="s">
        <v>410</v>
      </c>
      <c r="E16" s="17"/>
      <c r="F16" s="17"/>
      <c r="G16" s="17"/>
      <c r="H16" s="9"/>
      <c r="I16" s="67"/>
      <c r="J16" s="67"/>
      <c r="K16" s="67"/>
      <c r="L16" s="67"/>
      <c r="M16" s="67"/>
      <c r="N16" s="67"/>
      <c r="O16" s="67"/>
      <c r="P16" s="67"/>
      <c r="Q16" s="67"/>
      <c r="R16" s="68"/>
    </row>
    <row r="17" spans="1:18" ht="18" customHeight="1" x14ac:dyDescent="0.3">
      <c r="A17" s="18">
        <v>14</v>
      </c>
      <c r="B17" s="7">
        <f t="shared" ca="1" si="2"/>
        <v>44850.39037025463</v>
      </c>
      <c r="C17" s="8">
        <f t="shared" ca="1" si="3"/>
        <v>44850.39037025463</v>
      </c>
      <c r="D17" s="6" t="s">
        <v>411</v>
      </c>
      <c r="E17" s="17"/>
      <c r="F17" s="17"/>
      <c r="G17" s="17"/>
      <c r="H17" s="9"/>
      <c r="I17" s="67"/>
      <c r="J17" s="67"/>
      <c r="K17" s="67"/>
      <c r="L17" s="67"/>
      <c r="M17" s="67"/>
      <c r="N17" s="67"/>
      <c r="O17" s="67"/>
      <c r="P17" s="67"/>
      <c r="Q17" s="67"/>
      <c r="R17" s="68"/>
    </row>
    <row r="18" spans="1:18" ht="18" customHeight="1" x14ac:dyDescent="0.3">
      <c r="A18" s="18">
        <v>15</v>
      </c>
      <c r="B18" s="7">
        <f t="shared" ca="1" si="2"/>
        <v>44850.390397337964</v>
      </c>
      <c r="C18" s="8">
        <f t="shared" ca="1" si="3"/>
        <v>44850.390397337964</v>
      </c>
      <c r="D18" s="6" t="s">
        <v>412</v>
      </c>
      <c r="E18" s="17"/>
      <c r="F18" s="17"/>
      <c r="G18" s="17"/>
      <c r="H18" s="9"/>
      <c r="I18" s="67"/>
      <c r="J18" s="67"/>
      <c r="K18" s="67"/>
      <c r="L18" s="67"/>
      <c r="M18" s="67"/>
      <c r="N18" s="67"/>
      <c r="O18" s="67"/>
      <c r="P18" s="67"/>
      <c r="Q18" s="67"/>
      <c r="R18" s="68"/>
    </row>
    <row r="19" spans="1:18" ht="18" customHeight="1" x14ac:dyDescent="0.3">
      <c r="A19" s="18">
        <v>16</v>
      </c>
      <c r="B19" s="7">
        <f t="shared" ca="1" si="2"/>
        <v>44850.390472453706</v>
      </c>
      <c r="C19" s="8">
        <f t="shared" ca="1" si="3"/>
        <v>44850.390472453706</v>
      </c>
      <c r="D19" s="6" t="s">
        <v>413</v>
      </c>
      <c r="E19" s="17"/>
      <c r="F19" s="17"/>
      <c r="G19" s="17"/>
      <c r="H19" s="9"/>
      <c r="I19" s="67"/>
      <c r="J19" s="67"/>
      <c r="K19" s="67"/>
      <c r="L19" s="67"/>
      <c r="M19" s="67"/>
      <c r="N19" s="67"/>
      <c r="O19" s="67"/>
      <c r="P19" s="67"/>
      <c r="Q19" s="67"/>
      <c r="R19" s="68"/>
    </row>
    <row r="20" spans="1:18" ht="18" customHeight="1" x14ac:dyDescent="0.3">
      <c r="A20" s="18">
        <v>17</v>
      </c>
      <c r="B20" s="7">
        <f t="shared" ca="1" si="2"/>
        <v>44850.390493171297</v>
      </c>
      <c r="C20" s="8">
        <f t="shared" ca="1" si="3"/>
        <v>44850.390493171297</v>
      </c>
      <c r="D20" s="6" t="s">
        <v>414</v>
      </c>
      <c r="E20" s="17"/>
      <c r="F20" s="17"/>
      <c r="G20" s="17"/>
      <c r="H20" s="9"/>
      <c r="I20" s="67"/>
      <c r="J20" s="67"/>
      <c r="K20" s="67"/>
      <c r="L20" s="67"/>
      <c r="M20" s="67"/>
      <c r="N20" s="67"/>
      <c r="O20" s="67"/>
      <c r="P20" s="67"/>
      <c r="Q20" s="67"/>
      <c r="R20" s="68"/>
    </row>
    <row r="21" spans="1:18" ht="18" customHeight="1" x14ac:dyDescent="0.3">
      <c r="A21" s="18">
        <v>18</v>
      </c>
      <c r="B21" s="7">
        <f t="shared" ca="1" si="2"/>
        <v>44850.390660648147</v>
      </c>
      <c r="C21" s="8">
        <f t="shared" ca="1" si="3"/>
        <v>44850.390660648147</v>
      </c>
      <c r="D21" s="6" t="s">
        <v>415</v>
      </c>
      <c r="E21" s="17"/>
      <c r="F21" s="17"/>
      <c r="G21" s="17"/>
      <c r="H21" s="9"/>
      <c r="I21" s="67"/>
      <c r="J21" s="67"/>
      <c r="K21" s="67"/>
      <c r="L21" s="67"/>
      <c r="M21" s="67"/>
      <c r="N21" s="67"/>
      <c r="O21" s="67"/>
      <c r="P21" s="67"/>
      <c r="Q21" s="67"/>
      <c r="R21" s="68"/>
    </row>
    <row r="22" spans="1:18" ht="18" customHeight="1" x14ac:dyDescent="0.3">
      <c r="A22" s="18">
        <v>19</v>
      </c>
      <c r="B22" s="7">
        <f t="shared" ca="1" si="2"/>
        <v>44850.390767939818</v>
      </c>
      <c r="C22" s="8">
        <f t="shared" ca="1" si="3"/>
        <v>44850.390767939818</v>
      </c>
      <c r="D22" s="6" t="s">
        <v>416</v>
      </c>
      <c r="E22" s="17"/>
      <c r="F22" s="17"/>
      <c r="G22" s="17"/>
      <c r="H22" s="9"/>
      <c r="I22" s="67"/>
      <c r="J22" s="67"/>
      <c r="K22" s="67"/>
      <c r="L22" s="67"/>
      <c r="M22" s="67"/>
      <c r="N22" s="67"/>
      <c r="O22" s="67"/>
      <c r="P22" s="67"/>
      <c r="Q22" s="67"/>
      <c r="R22" s="68"/>
    </row>
    <row r="23" spans="1:18" ht="18" customHeight="1" x14ac:dyDescent="0.3">
      <c r="A23" s="18">
        <v>20</v>
      </c>
      <c r="B23" s="7">
        <f t="shared" ca="1" si="2"/>
        <v>44850.390805902774</v>
      </c>
      <c r="C23" s="8">
        <f t="shared" ca="1" si="3"/>
        <v>44850.390805902774</v>
      </c>
      <c r="D23" s="6" t="s">
        <v>417</v>
      </c>
      <c r="E23" s="17"/>
      <c r="F23" s="17"/>
      <c r="G23" s="17"/>
      <c r="H23" s="9"/>
      <c r="I23" s="67"/>
      <c r="J23" s="67"/>
      <c r="K23" s="67"/>
      <c r="L23" s="67"/>
      <c r="M23" s="67"/>
      <c r="N23" s="67"/>
      <c r="O23" s="67"/>
      <c r="P23" s="67"/>
      <c r="Q23" s="67"/>
      <c r="R23" s="68"/>
    </row>
    <row r="24" spans="1:18" ht="18" customHeight="1" x14ac:dyDescent="0.3">
      <c r="A24" s="18">
        <v>21</v>
      </c>
      <c r="B24" s="7">
        <f t="shared" ca="1" si="2"/>
        <v>44850.390856365739</v>
      </c>
      <c r="C24" s="8">
        <f t="shared" ca="1" si="3"/>
        <v>44850.390856365739</v>
      </c>
      <c r="D24" s="6" t="s">
        <v>418</v>
      </c>
      <c r="E24" s="17"/>
      <c r="F24" s="17"/>
      <c r="G24" s="17"/>
      <c r="H24" s="9"/>
      <c r="I24" s="67"/>
      <c r="J24" s="67"/>
      <c r="K24" s="67"/>
      <c r="L24" s="67"/>
      <c r="M24" s="67"/>
      <c r="N24" s="67"/>
      <c r="O24" s="67"/>
      <c r="P24" s="67"/>
      <c r="Q24" s="67"/>
      <c r="R24" s="68"/>
    </row>
    <row r="25" spans="1:18" ht="18" customHeight="1" x14ac:dyDescent="0.3">
      <c r="A25" s="18">
        <v>22</v>
      </c>
      <c r="B25" s="7">
        <f t="shared" ca="1" si="2"/>
        <v>44850.390939236109</v>
      </c>
      <c r="C25" s="8">
        <f t="shared" ca="1" si="3"/>
        <v>44850.390939236109</v>
      </c>
      <c r="D25" s="6" t="s">
        <v>419</v>
      </c>
      <c r="E25" s="17"/>
      <c r="F25" s="17"/>
      <c r="G25" s="17"/>
      <c r="H25" s="9"/>
      <c r="I25" s="67"/>
      <c r="J25" s="67"/>
      <c r="K25" s="67"/>
      <c r="L25" s="67"/>
      <c r="M25" s="67"/>
      <c r="N25" s="67"/>
      <c r="O25" s="67"/>
      <c r="P25" s="67"/>
      <c r="Q25" s="67"/>
      <c r="R25" s="68"/>
    </row>
    <row r="26" spans="1:18" ht="18" customHeight="1" x14ac:dyDescent="0.3">
      <c r="A26" s="18">
        <v>23</v>
      </c>
      <c r="B26" s="7">
        <f t="shared" ca="1" si="2"/>
        <v>44850.390988888888</v>
      </c>
      <c r="C26" s="8">
        <f t="shared" ca="1" si="3"/>
        <v>44850.390988888888</v>
      </c>
      <c r="D26" s="6" t="s">
        <v>420</v>
      </c>
      <c r="E26" s="17"/>
      <c r="F26" s="17"/>
      <c r="G26" s="17"/>
      <c r="H26" s="9"/>
      <c r="I26" s="67"/>
      <c r="J26" s="67"/>
      <c r="K26" s="67"/>
      <c r="L26" s="67"/>
      <c r="M26" s="67"/>
      <c r="N26" s="67"/>
      <c r="O26" s="67"/>
      <c r="P26" s="67"/>
      <c r="Q26" s="67"/>
      <c r="R26" s="68"/>
    </row>
    <row r="27" spans="1:18" ht="18" customHeight="1" x14ac:dyDescent="0.3">
      <c r="A27" s="18">
        <v>24</v>
      </c>
      <c r="B27" s="7">
        <f t="shared" ca="1" si="2"/>
        <v>44850.39102800926</v>
      </c>
      <c r="C27" s="8">
        <f t="shared" ca="1" si="3"/>
        <v>44850.39102800926</v>
      </c>
      <c r="D27" s="6" t="s">
        <v>421</v>
      </c>
      <c r="E27" s="17"/>
      <c r="F27" s="17"/>
      <c r="G27" s="17"/>
      <c r="H27" s="9"/>
      <c r="I27" s="67"/>
      <c r="J27" s="67"/>
      <c r="K27" s="67"/>
      <c r="L27" s="67"/>
      <c r="M27" s="67"/>
      <c r="N27" s="67"/>
      <c r="O27" s="67"/>
      <c r="P27" s="67"/>
      <c r="Q27" s="67"/>
      <c r="R27" s="68"/>
    </row>
    <row r="28" spans="1:18" ht="18" customHeight="1" x14ac:dyDescent="0.3">
      <c r="A28" s="18">
        <v>25</v>
      </c>
      <c r="B28" s="7">
        <f t="shared" ca="1" si="2"/>
        <v>44850.391058449073</v>
      </c>
      <c r="C28" s="8">
        <f t="shared" ca="1" si="3"/>
        <v>44850.391058449073</v>
      </c>
      <c r="D28" s="6" t="s">
        <v>422</v>
      </c>
      <c r="E28" s="17"/>
      <c r="F28" s="17"/>
      <c r="G28" s="17"/>
      <c r="H28" s="9"/>
      <c r="I28" s="67"/>
      <c r="J28" s="67"/>
      <c r="K28" s="67"/>
      <c r="L28" s="67"/>
      <c r="M28" s="67"/>
      <c r="N28" s="67"/>
      <c r="O28" s="67"/>
      <c r="P28" s="67"/>
      <c r="Q28" s="67"/>
      <c r="R28" s="68"/>
    </row>
    <row r="29" spans="1:18" ht="18" customHeight="1" x14ac:dyDescent="0.3">
      <c r="A29" s="18">
        <v>26</v>
      </c>
      <c r="B29" s="7">
        <f t="shared" ca="1" si="2"/>
        <v>44850.391084606483</v>
      </c>
      <c r="C29" s="8">
        <f t="shared" ca="1" si="3"/>
        <v>44850.391084606483</v>
      </c>
      <c r="D29" s="6" t="s">
        <v>423</v>
      </c>
      <c r="E29" s="17"/>
      <c r="F29" s="17"/>
      <c r="G29" s="17"/>
      <c r="H29" s="9"/>
      <c r="I29" s="67"/>
      <c r="J29" s="67"/>
      <c r="K29" s="67"/>
      <c r="L29" s="67"/>
      <c r="M29" s="67"/>
      <c r="N29" s="67"/>
      <c r="O29" s="67"/>
      <c r="P29" s="67"/>
      <c r="Q29" s="67"/>
      <c r="R29" s="68"/>
    </row>
    <row r="30" spans="1:18" ht="18" customHeight="1" x14ac:dyDescent="0.3">
      <c r="A30" s="18">
        <v>27</v>
      </c>
      <c r="B30" s="7">
        <f t="shared" ca="1" si="2"/>
        <v>44850.391117361112</v>
      </c>
      <c r="C30" s="8">
        <f t="shared" ca="1" si="3"/>
        <v>44850.391117361112</v>
      </c>
      <c r="D30" s="6" t="s">
        <v>424</v>
      </c>
      <c r="E30" s="17"/>
      <c r="F30" s="17"/>
      <c r="G30" s="17"/>
      <c r="H30" s="9"/>
      <c r="I30" s="67"/>
      <c r="J30" s="67"/>
      <c r="K30" s="67"/>
      <c r="L30" s="67"/>
      <c r="M30" s="67"/>
      <c r="N30" s="67"/>
      <c r="O30" s="67"/>
      <c r="P30" s="67"/>
      <c r="Q30" s="67"/>
      <c r="R30" s="68"/>
    </row>
    <row r="31" spans="1:18" ht="18" customHeight="1" x14ac:dyDescent="0.3">
      <c r="A31" s="18">
        <v>28</v>
      </c>
      <c r="B31" s="7">
        <f t="shared" ca="1" si="2"/>
        <v>44850.391146412039</v>
      </c>
      <c r="C31" s="8">
        <f t="shared" ca="1" si="3"/>
        <v>44850.391146412039</v>
      </c>
      <c r="D31" s="6" t="s">
        <v>425</v>
      </c>
      <c r="E31" s="17"/>
      <c r="F31" s="17"/>
      <c r="G31" s="17"/>
      <c r="H31" s="9"/>
      <c r="I31" s="67"/>
      <c r="J31" s="67"/>
      <c r="K31" s="67"/>
      <c r="L31" s="67"/>
      <c r="M31" s="67"/>
      <c r="N31" s="67"/>
      <c r="O31" s="67"/>
      <c r="P31" s="67"/>
      <c r="Q31" s="67"/>
      <c r="R31" s="68"/>
    </row>
    <row r="32" spans="1:18" ht="18" customHeight="1" x14ac:dyDescent="0.3">
      <c r="A32" s="18">
        <v>29</v>
      </c>
      <c r="B32" s="7">
        <f t="shared" ca="1" si="2"/>
        <v>44850.391168055554</v>
      </c>
      <c r="C32" s="8">
        <f t="shared" ca="1" si="3"/>
        <v>44850.391168055554</v>
      </c>
      <c r="D32" s="6" t="s">
        <v>426</v>
      </c>
      <c r="E32" s="17"/>
      <c r="F32" s="17"/>
      <c r="G32" s="17"/>
      <c r="H32" s="9"/>
      <c r="I32" s="67"/>
      <c r="J32" s="67"/>
      <c r="K32" s="67"/>
      <c r="L32" s="67"/>
      <c r="M32" s="67"/>
      <c r="N32" s="67"/>
      <c r="O32" s="67"/>
      <c r="P32" s="67"/>
      <c r="Q32" s="67"/>
      <c r="R32" s="68"/>
    </row>
    <row r="33" spans="1:18" ht="18" customHeight="1" x14ac:dyDescent="0.3">
      <c r="A33" s="18">
        <v>30</v>
      </c>
      <c r="B33" s="7">
        <f t="shared" ca="1" si="2"/>
        <v>44850.391551504632</v>
      </c>
      <c r="C33" s="8">
        <f t="shared" ca="1" si="3"/>
        <v>44850.391551504632</v>
      </c>
      <c r="D33" s="6" t="s">
        <v>427</v>
      </c>
      <c r="E33" s="17"/>
      <c r="F33" s="17"/>
      <c r="G33" s="17"/>
      <c r="H33" s="9"/>
      <c r="I33" s="67"/>
      <c r="J33" s="67"/>
      <c r="K33" s="67"/>
      <c r="L33" s="67"/>
      <c r="M33" s="67"/>
      <c r="N33" s="67"/>
      <c r="O33" s="67"/>
      <c r="P33" s="67"/>
      <c r="Q33" s="67"/>
      <c r="R33" s="68"/>
    </row>
    <row r="34" spans="1:18" ht="18" customHeight="1" x14ac:dyDescent="0.3">
      <c r="A34" s="18">
        <v>31</v>
      </c>
      <c r="B34" s="7">
        <f t="shared" ca="1" si="2"/>
        <v>44850.391878009257</v>
      </c>
      <c r="C34" s="8">
        <f t="shared" ca="1" si="3"/>
        <v>44850.391878009257</v>
      </c>
      <c r="D34" s="6" t="s">
        <v>428</v>
      </c>
      <c r="E34" s="17"/>
      <c r="F34" s="17"/>
      <c r="G34" s="17"/>
      <c r="H34" s="9"/>
      <c r="I34" s="67"/>
      <c r="J34" s="67"/>
      <c r="K34" s="67"/>
      <c r="L34" s="67"/>
      <c r="M34" s="67"/>
      <c r="N34" s="67"/>
      <c r="O34" s="67"/>
      <c r="P34" s="67"/>
      <c r="Q34" s="67"/>
      <c r="R34" s="68"/>
    </row>
    <row r="35" spans="1:18" ht="18" customHeight="1" x14ac:dyDescent="0.3">
      <c r="A35" s="18">
        <v>32</v>
      </c>
      <c r="B35" s="7">
        <f t="shared" ca="1" si="2"/>
        <v>44850.391914467589</v>
      </c>
      <c r="C35" s="8">
        <f t="shared" ca="1" si="3"/>
        <v>44850.391914467589</v>
      </c>
      <c r="D35" s="6" t="s">
        <v>429</v>
      </c>
      <c r="E35" s="17"/>
      <c r="F35" s="17"/>
      <c r="G35" s="17"/>
      <c r="H35" s="9"/>
      <c r="I35" s="67"/>
      <c r="J35" s="67"/>
      <c r="K35" s="67"/>
      <c r="L35" s="67"/>
      <c r="M35" s="67"/>
      <c r="N35" s="67"/>
      <c r="O35" s="67"/>
      <c r="P35" s="67"/>
      <c r="Q35" s="67"/>
      <c r="R35" s="68"/>
    </row>
    <row r="36" spans="1:18" ht="18" customHeight="1" x14ac:dyDescent="0.3">
      <c r="A36" s="18">
        <v>33</v>
      </c>
      <c r="B36" s="7">
        <f t="shared" ca="1" si="2"/>
        <v>44850.391942476854</v>
      </c>
      <c r="C36" s="8">
        <f t="shared" ca="1" si="3"/>
        <v>44850.391942476854</v>
      </c>
      <c r="D36" s="6" t="s">
        <v>430</v>
      </c>
      <c r="E36" s="17"/>
      <c r="F36" s="17"/>
      <c r="G36" s="17"/>
      <c r="H36" s="9"/>
      <c r="I36" s="67"/>
      <c r="J36" s="67"/>
      <c r="K36" s="67"/>
      <c r="L36" s="67"/>
      <c r="M36" s="67"/>
      <c r="N36" s="67"/>
      <c r="O36" s="67"/>
      <c r="P36" s="67"/>
      <c r="Q36" s="67"/>
      <c r="R36" s="68"/>
    </row>
    <row r="37" spans="1:18" ht="18" customHeight="1" x14ac:dyDescent="0.3">
      <c r="A37" s="18">
        <v>34</v>
      </c>
      <c r="B37" s="7">
        <f t="shared" ca="1" si="2"/>
        <v>44850.391963078706</v>
      </c>
      <c r="C37" s="8">
        <f t="shared" ca="1" si="3"/>
        <v>44850.391963078706</v>
      </c>
      <c r="D37" s="6" t="s">
        <v>431</v>
      </c>
      <c r="E37" s="17"/>
      <c r="F37" s="17"/>
      <c r="G37" s="17"/>
      <c r="H37" s="9"/>
      <c r="I37" s="67"/>
      <c r="J37" s="67"/>
      <c r="K37" s="67"/>
      <c r="L37" s="67"/>
      <c r="M37" s="67"/>
      <c r="N37" s="67"/>
      <c r="O37" s="67"/>
      <c r="P37" s="67"/>
      <c r="Q37" s="67"/>
      <c r="R37" s="68"/>
    </row>
    <row r="38" spans="1:18" ht="18" customHeight="1" x14ac:dyDescent="0.3">
      <c r="A38" s="18">
        <v>35</v>
      </c>
      <c r="B38" s="7">
        <f t="shared" ca="1" si="2"/>
        <v>44850.392239930552</v>
      </c>
      <c r="C38" s="8">
        <f t="shared" ca="1" si="3"/>
        <v>44850.392239930552</v>
      </c>
      <c r="D38" s="6" t="s">
        <v>449</v>
      </c>
      <c r="E38" s="17"/>
      <c r="F38" s="17"/>
      <c r="G38" s="17"/>
      <c r="H38" s="9"/>
      <c r="I38" s="67"/>
      <c r="J38" s="67"/>
      <c r="K38" s="67"/>
      <c r="L38" s="67"/>
      <c r="M38" s="67"/>
      <c r="N38" s="67"/>
      <c r="O38" s="67"/>
      <c r="P38" s="67"/>
      <c r="Q38" s="67"/>
      <c r="R38" s="68"/>
    </row>
    <row r="39" spans="1:18" ht="18" customHeight="1" x14ac:dyDescent="0.3">
      <c r="A39" s="18">
        <v>36</v>
      </c>
      <c r="B39" s="7">
        <f t="shared" ca="1" si="2"/>
        <v>44850.392272337966</v>
      </c>
      <c r="C39" s="8">
        <f t="shared" ca="1" si="3"/>
        <v>44850.392272337966</v>
      </c>
      <c r="D39" s="6" t="s">
        <v>432</v>
      </c>
      <c r="E39" s="17"/>
      <c r="F39" s="17"/>
      <c r="G39" s="17"/>
      <c r="H39" s="9"/>
      <c r="I39" s="67"/>
      <c r="J39" s="67"/>
      <c r="K39" s="67"/>
      <c r="L39" s="67"/>
      <c r="M39" s="67"/>
      <c r="N39" s="67"/>
      <c r="O39" s="67"/>
      <c r="P39" s="67"/>
      <c r="Q39" s="67"/>
      <c r="R39" s="68"/>
    </row>
    <row r="40" spans="1:18" ht="18" customHeight="1" x14ac:dyDescent="0.3">
      <c r="A40" s="18">
        <v>37</v>
      </c>
      <c r="B40" s="7">
        <f t="shared" ca="1" si="2"/>
        <v>44850.392351504626</v>
      </c>
      <c r="C40" s="8">
        <f t="shared" ca="1" si="3"/>
        <v>44850.392351504626</v>
      </c>
      <c r="D40" s="6" t="s">
        <v>433</v>
      </c>
      <c r="E40" s="17"/>
      <c r="F40" s="17"/>
      <c r="G40" s="17"/>
      <c r="H40" s="9"/>
      <c r="I40" s="67"/>
      <c r="J40" s="67"/>
      <c r="K40" s="67"/>
      <c r="L40" s="67"/>
      <c r="M40" s="67"/>
      <c r="N40" s="67"/>
      <c r="O40" s="67"/>
      <c r="P40" s="67"/>
      <c r="Q40" s="67"/>
      <c r="R40" s="68"/>
    </row>
    <row r="41" spans="1:18" ht="18" customHeight="1" x14ac:dyDescent="0.3">
      <c r="A41" s="18">
        <v>38</v>
      </c>
      <c r="B41" s="7">
        <f t="shared" ca="1" si="2"/>
        <v>44850.392386226849</v>
      </c>
      <c r="C41" s="8">
        <f t="shared" ca="1" si="3"/>
        <v>44850.392386226849</v>
      </c>
      <c r="D41" s="6" t="s">
        <v>434</v>
      </c>
      <c r="E41" s="17"/>
      <c r="F41" s="17"/>
      <c r="G41" s="17"/>
      <c r="H41" s="9"/>
      <c r="I41" s="67"/>
      <c r="J41" s="67"/>
      <c r="K41" s="67"/>
      <c r="L41" s="67"/>
      <c r="M41" s="67"/>
      <c r="N41" s="67"/>
      <c r="O41" s="67"/>
      <c r="P41" s="67"/>
      <c r="Q41" s="67"/>
      <c r="R41" s="68"/>
    </row>
    <row r="42" spans="1:18" ht="18" customHeight="1" x14ac:dyDescent="0.3">
      <c r="A42" s="18">
        <v>39</v>
      </c>
      <c r="B42" s="7">
        <f t="shared" ca="1" si="2"/>
        <v>44850.392407175925</v>
      </c>
      <c r="C42" s="8">
        <f t="shared" ca="1" si="3"/>
        <v>44850.392407175925</v>
      </c>
      <c r="D42" s="6" t="s">
        <v>435</v>
      </c>
      <c r="E42" s="17"/>
      <c r="F42" s="17"/>
      <c r="G42" s="17"/>
      <c r="H42" s="9"/>
      <c r="I42" s="67"/>
      <c r="J42" s="67"/>
      <c r="K42" s="67"/>
      <c r="L42" s="67"/>
      <c r="M42" s="67"/>
      <c r="N42" s="67"/>
      <c r="O42" s="67"/>
      <c r="P42" s="67"/>
      <c r="Q42" s="67"/>
      <c r="R42" s="68"/>
    </row>
    <row r="43" spans="1:18" ht="18" customHeight="1" x14ac:dyDescent="0.3">
      <c r="A43" s="18">
        <v>40</v>
      </c>
      <c r="B43" s="7">
        <f t="shared" ca="1" si="2"/>
        <v>44850.392524074072</v>
      </c>
      <c r="C43" s="8">
        <f t="shared" ca="1" si="3"/>
        <v>44850.392524074072</v>
      </c>
      <c r="D43" s="6" t="s">
        <v>436</v>
      </c>
      <c r="E43" s="17"/>
      <c r="F43" s="17"/>
      <c r="G43" s="17"/>
      <c r="H43" s="9"/>
      <c r="I43" s="67"/>
      <c r="J43" s="67"/>
      <c r="K43" s="67"/>
      <c r="L43" s="67"/>
      <c r="M43" s="67"/>
      <c r="N43" s="67"/>
      <c r="O43" s="67"/>
      <c r="P43" s="67"/>
      <c r="Q43" s="67"/>
      <c r="R43" s="68"/>
    </row>
    <row r="44" spans="1:18" ht="18" customHeight="1" x14ac:dyDescent="0.3">
      <c r="A44" s="18">
        <v>41</v>
      </c>
      <c r="B44" s="7">
        <f t="shared" ca="1" si="2"/>
        <v>44850.392567592593</v>
      </c>
      <c r="C44" s="8">
        <f t="shared" ca="1" si="3"/>
        <v>44850.392567592593</v>
      </c>
      <c r="D44" s="6" t="s">
        <v>437</v>
      </c>
      <c r="E44" s="17"/>
      <c r="F44" s="17"/>
      <c r="G44" s="17"/>
      <c r="H44" s="9"/>
      <c r="I44" s="67"/>
      <c r="J44" s="67"/>
      <c r="K44" s="67"/>
      <c r="L44" s="67"/>
      <c r="M44" s="67"/>
      <c r="N44" s="67"/>
      <c r="O44" s="67"/>
      <c r="P44" s="67"/>
      <c r="Q44" s="67"/>
      <c r="R44" s="68"/>
    </row>
    <row r="45" spans="1:18" ht="18" customHeight="1" x14ac:dyDescent="0.3">
      <c r="A45" s="18">
        <v>42</v>
      </c>
      <c r="B45" s="7">
        <f t="shared" ca="1" si="2"/>
        <v>44850.39259502315</v>
      </c>
      <c r="C45" s="8">
        <f t="shared" ca="1" si="3"/>
        <v>44850.39259502315</v>
      </c>
      <c r="D45" s="6" t="s">
        <v>438</v>
      </c>
      <c r="E45" s="17"/>
      <c r="F45" s="17"/>
      <c r="G45" s="17"/>
      <c r="H45" s="9"/>
      <c r="I45" s="67"/>
      <c r="J45" s="67"/>
      <c r="K45" s="67"/>
      <c r="L45" s="67"/>
      <c r="M45" s="67"/>
      <c r="N45" s="67"/>
      <c r="O45" s="67"/>
      <c r="P45" s="67"/>
      <c r="Q45" s="67"/>
      <c r="R45" s="68"/>
    </row>
    <row r="46" spans="1:18" ht="18" customHeight="1" x14ac:dyDescent="0.3">
      <c r="A46" s="18">
        <v>43</v>
      </c>
      <c r="B46" s="7">
        <f t="shared" ca="1" si="2"/>
        <v>44850.392644791667</v>
      </c>
      <c r="C46" s="8">
        <f t="shared" ca="1" si="3"/>
        <v>44850.392644791667</v>
      </c>
      <c r="D46" s="6" t="s">
        <v>439</v>
      </c>
      <c r="E46" s="17"/>
      <c r="F46" s="17"/>
      <c r="G46" s="17"/>
      <c r="H46" s="9"/>
      <c r="I46" s="67"/>
      <c r="J46" s="67"/>
      <c r="K46" s="67"/>
      <c r="L46" s="67"/>
      <c r="M46" s="67"/>
      <c r="N46" s="67"/>
      <c r="O46" s="67"/>
      <c r="P46" s="67"/>
      <c r="Q46" s="67"/>
      <c r="R46" s="68"/>
    </row>
    <row r="47" spans="1:18" ht="18" customHeight="1" x14ac:dyDescent="0.3">
      <c r="A47" s="18">
        <v>44</v>
      </c>
      <c r="B47" s="7">
        <f t="shared" ca="1" si="2"/>
        <v>44850.392714699075</v>
      </c>
      <c r="C47" s="8">
        <f t="shared" ca="1" si="3"/>
        <v>44850.392714699075</v>
      </c>
      <c r="D47" s="6" t="s">
        <v>440</v>
      </c>
      <c r="E47" s="17"/>
      <c r="F47" s="17"/>
      <c r="G47" s="17"/>
      <c r="H47" s="9"/>
      <c r="I47" s="67"/>
      <c r="J47" s="67"/>
      <c r="K47" s="67"/>
      <c r="L47" s="67"/>
      <c r="M47" s="67"/>
      <c r="N47" s="67"/>
      <c r="O47" s="67"/>
      <c r="P47" s="67"/>
      <c r="Q47" s="67"/>
      <c r="R47" s="68"/>
    </row>
    <row r="48" spans="1:18" ht="18" customHeight="1" x14ac:dyDescent="0.3">
      <c r="A48" s="18">
        <v>45</v>
      </c>
      <c r="B48" s="7">
        <f t="shared" ca="1" si="2"/>
        <v>44850.392739583331</v>
      </c>
      <c r="C48" s="8">
        <f t="shared" ca="1" si="3"/>
        <v>44850.392739583331</v>
      </c>
      <c r="D48" s="6" t="s">
        <v>441</v>
      </c>
      <c r="E48" s="17"/>
      <c r="F48" s="17"/>
      <c r="G48" s="17"/>
      <c r="H48" s="9"/>
      <c r="I48" s="67"/>
      <c r="J48" s="67"/>
      <c r="K48" s="67"/>
      <c r="L48" s="67"/>
      <c r="M48" s="67"/>
      <c r="N48" s="67"/>
      <c r="O48" s="67"/>
      <c r="P48" s="67"/>
      <c r="Q48" s="67"/>
      <c r="R48" s="68"/>
    </row>
    <row r="49" spans="1:18" ht="18" customHeight="1" x14ac:dyDescent="0.3">
      <c r="A49" s="18">
        <v>46</v>
      </c>
      <c r="B49" s="7">
        <f t="shared" ca="1" si="2"/>
        <v>44850.392781134258</v>
      </c>
      <c r="C49" s="8">
        <f t="shared" ca="1" si="3"/>
        <v>44850.392781134258</v>
      </c>
      <c r="D49" s="6" t="s">
        <v>442</v>
      </c>
      <c r="E49" s="17"/>
      <c r="F49" s="17"/>
      <c r="G49" s="17"/>
      <c r="H49" s="9"/>
      <c r="I49" s="67"/>
      <c r="J49" s="67"/>
      <c r="K49" s="67"/>
      <c r="L49" s="67"/>
      <c r="M49" s="67"/>
      <c r="N49" s="67"/>
      <c r="O49" s="67"/>
      <c r="P49" s="67"/>
      <c r="Q49" s="67"/>
      <c r="R49" s="68"/>
    </row>
    <row r="50" spans="1:18" ht="18" customHeight="1" x14ac:dyDescent="0.3">
      <c r="A50" s="18">
        <v>47</v>
      </c>
      <c r="B50" s="7">
        <f t="shared" ca="1" si="2"/>
        <v>44850.392808912038</v>
      </c>
      <c r="C50" s="8">
        <f t="shared" ca="1" si="3"/>
        <v>44850.392808912038</v>
      </c>
      <c r="D50" s="6" t="s">
        <v>443</v>
      </c>
      <c r="E50" s="17"/>
      <c r="F50" s="17"/>
      <c r="G50" s="17"/>
      <c r="H50" s="9"/>
      <c r="I50" s="67"/>
      <c r="J50" s="67"/>
      <c r="K50" s="67"/>
      <c r="L50" s="67"/>
      <c r="M50" s="67"/>
      <c r="N50" s="67"/>
      <c r="O50" s="67"/>
      <c r="P50" s="67"/>
      <c r="Q50" s="67"/>
      <c r="R50" s="68"/>
    </row>
    <row r="51" spans="1:18" ht="18" customHeight="1" x14ac:dyDescent="0.3">
      <c r="A51" s="18">
        <v>48</v>
      </c>
      <c r="B51" s="7">
        <f t="shared" ca="1" si="2"/>
        <v>44850.393058680558</v>
      </c>
      <c r="C51" s="8">
        <f t="shared" ca="1" si="3"/>
        <v>44850.393058680558</v>
      </c>
      <c r="D51" s="6" t="s">
        <v>444</v>
      </c>
      <c r="E51" s="17"/>
      <c r="F51" s="17"/>
      <c r="G51" s="17"/>
      <c r="H51" s="9"/>
      <c r="I51" s="67"/>
      <c r="J51" s="67"/>
      <c r="K51" s="67"/>
      <c r="L51" s="67"/>
      <c r="M51" s="67"/>
      <c r="N51" s="67"/>
      <c r="O51" s="67"/>
      <c r="P51" s="67"/>
      <c r="Q51" s="67"/>
      <c r="R51" s="68"/>
    </row>
    <row r="52" spans="1:18" ht="18" customHeight="1" x14ac:dyDescent="0.3">
      <c r="A52" s="18">
        <v>49</v>
      </c>
      <c r="B52" s="7">
        <f t="shared" ca="1" si="2"/>
        <v>44850.393089467594</v>
      </c>
      <c r="C52" s="8">
        <f t="shared" ca="1" si="3"/>
        <v>44850.393089467594</v>
      </c>
      <c r="D52" s="6" t="s">
        <v>445</v>
      </c>
      <c r="E52" s="17"/>
      <c r="F52" s="17"/>
      <c r="G52" s="17"/>
      <c r="H52" s="9"/>
      <c r="I52" s="67"/>
      <c r="J52" s="67"/>
      <c r="K52" s="67"/>
      <c r="L52" s="67"/>
      <c r="M52" s="67"/>
      <c r="N52" s="67"/>
      <c r="O52" s="67"/>
      <c r="P52" s="67"/>
      <c r="Q52" s="67"/>
      <c r="R52" s="68"/>
    </row>
    <row r="53" spans="1:18" ht="18" customHeight="1" x14ac:dyDescent="0.3">
      <c r="A53" s="18">
        <v>50</v>
      </c>
      <c r="B53" s="7">
        <f t="shared" ca="1" si="2"/>
        <v>44850.393127546296</v>
      </c>
      <c r="C53" s="8">
        <f t="shared" ca="1" si="3"/>
        <v>44850.393127546296</v>
      </c>
      <c r="D53" s="6" t="s">
        <v>446</v>
      </c>
      <c r="E53" s="17"/>
      <c r="F53" s="17"/>
      <c r="G53" s="17"/>
      <c r="H53" s="9"/>
      <c r="I53" s="67"/>
      <c r="J53" s="67"/>
      <c r="K53" s="67"/>
      <c r="L53" s="67"/>
      <c r="M53" s="67"/>
      <c r="N53" s="67"/>
      <c r="O53" s="67"/>
      <c r="P53" s="67"/>
      <c r="Q53" s="67"/>
      <c r="R53" s="68"/>
    </row>
    <row r="54" spans="1:18" ht="18" customHeight="1" x14ac:dyDescent="0.3">
      <c r="A54" s="18">
        <v>51</v>
      </c>
      <c r="B54" s="7">
        <f t="shared" ca="1" si="2"/>
        <v>44850.393160648149</v>
      </c>
      <c r="C54" s="8">
        <f t="shared" ca="1" si="3"/>
        <v>44850.393160648149</v>
      </c>
      <c r="D54" s="6" t="s">
        <v>447</v>
      </c>
      <c r="E54" s="17"/>
      <c r="F54" s="17"/>
      <c r="G54" s="17"/>
      <c r="H54" s="9"/>
      <c r="I54" s="67"/>
      <c r="J54" s="67"/>
      <c r="K54" s="67"/>
      <c r="L54" s="67"/>
      <c r="M54" s="67"/>
      <c r="N54" s="67"/>
      <c r="O54" s="67"/>
      <c r="P54" s="67"/>
      <c r="Q54" s="67"/>
      <c r="R54" s="68"/>
    </row>
    <row r="55" spans="1:18" ht="18" customHeight="1" x14ac:dyDescent="0.3">
      <c r="A55" s="18">
        <v>52</v>
      </c>
      <c r="B55" s="7">
        <f t="shared" ca="1" si="2"/>
        <v>44850.393182638887</v>
      </c>
      <c r="C55" s="8">
        <f t="shared" ca="1" si="3"/>
        <v>44850.393182638887</v>
      </c>
      <c r="D55" s="6" t="s">
        <v>448</v>
      </c>
      <c r="E55" s="17"/>
      <c r="F55" s="17"/>
      <c r="G55" s="17"/>
      <c r="H55" s="9"/>
      <c r="I55" s="67"/>
      <c r="J55" s="67"/>
      <c r="K55" s="67"/>
      <c r="L55" s="67"/>
      <c r="M55" s="67"/>
      <c r="N55" s="67"/>
      <c r="O55" s="67"/>
      <c r="P55" s="67"/>
      <c r="Q55" s="67"/>
      <c r="R55" s="68"/>
    </row>
    <row r="56" spans="1:18" ht="18" customHeight="1" x14ac:dyDescent="0.3">
      <c r="A56" s="18">
        <v>53</v>
      </c>
      <c r="B56" s="7">
        <f t="shared" ca="1" si="2"/>
        <v>44850.399793750003</v>
      </c>
      <c r="C56" s="8">
        <f t="shared" ca="1" si="3"/>
        <v>44850.399793750003</v>
      </c>
      <c r="D56" s="6" t="s">
        <v>465</v>
      </c>
      <c r="E56" s="17"/>
      <c r="F56" s="17"/>
      <c r="G56" s="17"/>
      <c r="H56" s="9"/>
      <c r="I56" s="67"/>
      <c r="J56" s="67"/>
      <c r="K56" s="67"/>
      <c r="L56" s="67"/>
      <c r="M56" s="67"/>
      <c r="N56" s="67"/>
      <c r="O56" s="67"/>
      <c r="P56" s="67"/>
      <c r="Q56" s="67"/>
      <c r="R56" s="68"/>
    </row>
    <row r="57" spans="1:18" ht="18" customHeight="1" x14ac:dyDescent="0.3">
      <c r="A57" s="18">
        <v>54</v>
      </c>
      <c r="B57" s="7">
        <f t="shared" ca="1" si="2"/>
        <v>44850.400039236112</v>
      </c>
      <c r="C57" s="8">
        <f t="shared" ca="1" si="3"/>
        <v>44850.400039236112</v>
      </c>
      <c r="D57" s="6" t="s">
        <v>466</v>
      </c>
      <c r="E57" s="17"/>
      <c r="F57" s="17"/>
      <c r="G57" s="17"/>
      <c r="H57" s="9"/>
      <c r="I57" s="67"/>
      <c r="J57" s="67"/>
      <c r="K57" s="67"/>
      <c r="L57" s="67"/>
      <c r="M57" s="67"/>
      <c r="N57" s="67"/>
      <c r="O57" s="67"/>
      <c r="P57" s="67"/>
      <c r="Q57" s="67"/>
      <c r="R57" s="68"/>
    </row>
    <row r="58" spans="1:18" ht="18" customHeight="1" thickBot="1" x14ac:dyDescent="0.35">
      <c r="A58" s="19">
        <v>55</v>
      </c>
      <c r="B58" s="10">
        <f t="shared" ca="1" si="2"/>
        <v>44850.406641435184</v>
      </c>
      <c r="C58" s="11">
        <f t="shared" ca="1" si="3"/>
        <v>44850.406641435184</v>
      </c>
      <c r="D58" s="12" t="s">
        <v>479</v>
      </c>
      <c r="E58" s="20"/>
      <c r="F58" s="20"/>
      <c r="G58" s="20"/>
      <c r="H58" s="9"/>
      <c r="I58" s="69"/>
      <c r="J58" s="69"/>
      <c r="K58" s="69"/>
      <c r="L58" s="69"/>
      <c r="M58" s="69"/>
      <c r="N58" s="69"/>
      <c r="O58" s="69"/>
      <c r="P58" s="69"/>
      <c r="Q58" s="69"/>
      <c r="R58" s="70"/>
    </row>
    <row r="59" spans="1:18" x14ac:dyDescent="0.3">
      <c r="B59" s="1" t="str">
        <f t="shared" ca="1" si="2"/>
        <v/>
      </c>
      <c r="C59" s="2" t="str">
        <f t="shared" ca="1" si="3"/>
        <v/>
      </c>
    </row>
    <row r="60" spans="1:18" x14ac:dyDescent="0.3">
      <c r="B60" s="1" t="str">
        <f t="shared" ca="1" si="2"/>
        <v/>
      </c>
      <c r="C60" s="2" t="str">
        <f t="shared" ca="1" si="3"/>
        <v/>
      </c>
    </row>
    <row r="61" spans="1:18" x14ac:dyDescent="0.3">
      <c r="B61" s="1" t="str">
        <f t="shared" ca="1" si="2"/>
        <v/>
      </c>
      <c r="C61" s="2" t="str">
        <f t="shared" ca="1" si="3"/>
        <v/>
      </c>
    </row>
    <row r="62" spans="1:18" x14ac:dyDescent="0.3">
      <c r="B62" s="1" t="str">
        <f t="shared" ca="1" si="2"/>
        <v/>
      </c>
      <c r="C62" s="2" t="str">
        <f t="shared" ca="1" si="3"/>
        <v/>
      </c>
    </row>
    <row r="63" spans="1:18" x14ac:dyDescent="0.3">
      <c r="B63" s="1" t="str">
        <f t="shared" ca="1" si="2"/>
        <v/>
      </c>
      <c r="C63" s="2" t="str">
        <f t="shared" ca="1" si="3"/>
        <v/>
      </c>
    </row>
    <row r="64" spans="1:18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ref="B69:B101" ca="1" si="4">IF(D69 &lt;&gt;"", IF(C69 ="", NOW(), C69), "")</f>
        <v/>
      </c>
      <c r="C69" s="2" t="str">
        <f t="shared" ref="C69:C101" ca="1" si="5">IF(D69 &lt;&gt;"", IF(C69 ="", NOW(), C69), "")</f>
        <v/>
      </c>
    </row>
    <row r="70" spans="2:3" x14ac:dyDescent="0.3">
      <c r="B70" s="1" t="str">
        <f t="shared" ca="1" si="4"/>
        <v/>
      </c>
      <c r="C70" s="2" t="str">
        <f t="shared" ca="1" si="5"/>
        <v/>
      </c>
    </row>
    <row r="71" spans="2:3" x14ac:dyDescent="0.3">
      <c r="B71" s="1" t="str">
        <f t="shared" ca="1" si="4"/>
        <v/>
      </c>
      <c r="C71" s="2" t="str">
        <f t="shared" ca="1" si="5"/>
        <v/>
      </c>
    </row>
    <row r="72" spans="2:3" x14ac:dyDescent="0.3">
      <c r="B72" s="1" t="str">
        <f t="shared" ca="1" si="4"/>
        <v/>
      </c>
      <c r="C72" s="2" t="str">
        <f t="shared" ca="1" si="5"/>
        <v/>
      </c>
    </row>
    <row r="73" spans="2:3" x14ac:dyDescent="0.3">
      <c r="B73" s="1" t="str">
        <f t="shared" ca="1" si="4"/>
        <v/>
      </c>
      <c r="C73" s="2" t="str">
        <f t="shared" ca="1" si="5"/>
        <v/>
      </c>
    </row>
    <row r="74" spans="2:3" x14ac:dyDescent="0.3">
      <c r="B74" s="1" t="str">
        <f t="shared" ca="1" si="4"/>
        <v/>
      </c>
      <c r="C74" s="2" t="str">
        <f t="shared" ca="1" si="5"/>
        <v/>
      </c>
    </row>
    <row r="75" spans="2:3" x14ac:dyDescent="0.3">
      <c r="B75" s="1" t="str">
        <f t="shared" ca="1" si="4"/>
        <v/>
      </c>
      <c r="C75" s="2" t="str">
        <f t="shared" ca="1" si="5"/>
        <v/>
      </c>
    </row>
    <row r="76" spans="2:3" x14ac:dyDescent="0.3">
      <c r="B76" s="1" t="str">
        <f t="shared" ca="1" si="4"/>
        <v/>
      </c>
      <c r="C76" s="2" t="str">
        <f t="shared" ca="1" si="5"/>
        <v/>
      </c>
    </row>
    <row r="77" spans="2:3" x14ac:dyDescent="0.3">
      <c r="B77" s="1" t="str">
        <f t="shared" ca="1" si="4"/>
        <v/>
      </c>
      <c r="C77" s="2" t="str">
        <f t="shared" ca="1" si="5"/>
        <v/>
      </c>
    </row>
    <row r="78" spans="2:3" x14ac:dyDescent="0.3">
      <c r="B78" s="1" t="str">
        <f t="shared" ca="1" si="4"/>
        <v/>
      </c>
      <c r="C78" s="2" t="str">
        <f t="shared" ca="1" si="5"/>
        <v/>
      </c>
    </row>
    <row r="79" spans="2:3" x14ac:dyDescent="0.3">
      <c r="B79" s="1" t="str">
        <f t="shared" ca="1" si="4"/>
        <v/>
      </c>
      <c r="C79" s="2" t="str">
        <f t="shared" ca="1" si="5"/>
        <v/>
      </c>
    </row>
    <row r="80" spans="2:3" x14ac:dyDescent="0.3">
      <c r="B80" s="1" t="str">
        <f t="shared" ca="1" si="4"/>
        <v/>
      </c>
      <c r="C80" s="2" t="str">
        <f t="shared" ca="1" si="5"/>
        <v/>
      </c>
    </row>
    <row r="81" spans="2:3" x14ac:dyDescent="0.3">
      <c r="B81" s="1" t="str">
        <f t="shared" ca="1" si="4"/>
        <v/>
      </c>
      <c r="C81" s="2" t="str">
        <f t="shared" ca="1" si="5"/>
        <v/>
      </c>
    </row>
    <row r="82" spans="2:3" x14ac:dyDescent="0.3">
      <c r="B82" s="1" t="str">
        <f t="shared" ca="1" si="4"/>
        <v/>
      </c>
      <c r="C82" s="2" t="str">
        <f t="shared" ca="1" si="5"/>
        <v/>
      </c>
    </row>
    <row r="83" spans="2:3" x14ac:dyDescent="0.3">
      <c r="B83" s="1" t="str">
        <f t="shared" ca="1" si="4"/>
        <v/>
      </c>
      <c r="C83" s="2" t="str">
        <f t="shared" ca="1" si="5"/>
        <v/>
      </c>
    </row>
    <row r="84" spans="2:3" x14ac:dyDescent="0.3">
      <c r="B84" s="1" t="str">
        <f t="shared" ca="1" si="4"/>
        <v/>
      </c>
      <c r="C84" s="2" t="str">
        <f t="shared" ca="1" si="5"/>
        <v/>
      </c>
    </row>
    <row r="85" spans="2:3" x14ac:dyDescent="0.3">
      <c r="B85" s="1" t="str">
        <f t="shared" ca="1" si="4"/>
        <v/>
      </c>
      <c r="C85" s="2" t="str">
        <f t="shared" ca="1" si="5"/>
        <v/>
      </c>
    </row>
    <row r="86" spans="2:3" x14ac:dyDescent="0.3">
      <c r="B86" s="1" t="str">
        <f t="shared" ca="1" si="4"/>
        <v/>
      </c>
      <c r="C86" s="2" t="str">
        <f t="shared" ca="1" si="5"/>
        <v/>
      </c>
    </row>
    <row r="87" spans="2:3" x14ac:dyDescent="0.3">
      <c r="B87" s="1" t="str">
        <f t="shared" ca="1" si="4"/>
        <v/>
      </c>
      <c r="C87" s="2" t="str">
        <f t="shared" ca="1" si="5"/>
        <v/>
      </c>
    </row>
    <row r="88" spans="2:3" x14ac:dyDescent="0.3">
      <c r="B88" s="1" t="str">
        <f t="shared" ca="1" si="4"/>
        <v/>
      </c>
      <c r="C88" s="2" t="str">
        <f t="shared" ca="1" si="5"/>
        <v/>
      </c>
    </row>
    <row r="89" spans="2:3" x14ac:dyDescent="0.3">
      <c r="B89" s="1" t="str">
        <f t="shared" ca="1" si="4"/>
        <v/>
      </c>
      <c r="C89" s="2" t="str">
        <f t="shared" ca="1" si="5"/>
        <v/>
      </c>
    </row>
    <row r="90" spans="2:3" x14ac:dyDescent="0.3">
      <c r="B90" s="1" t="str">
        <f t="shared" ca="1" si="4"/>
        <v/>
      </c>
      <c r="C90" s="2" t="str">
        <f t="shared" ca="1" si="5"/>
        <v/>
      </c>
    </row>
    <row r="91" spans="2:3" x14ac:dyDescent="0.3">
      <c r="B91" s="1" t="str">
        <f t="shared" ca="1" si="4"/>
        <v/>
      </c>
      <c r="C91" s="2" t="str">
        <f t="shared" ca="1" si="5"/>
        <v/>
      </c>
    </row>
    <row r="92" spans="2:3" x14ac:dyDescent="0.3">
      <c r="B92" s="1" t="str">
        <f t="shared" ca="1" si="4"/>
        <v/>
      </c>
      <c r="C92" s="2" t="str">
        <f t="shared" ca="1" si="5"/>
        <v/>
      </c>
    </row>
    <row r="93" spans="2:3" x14ac:dyDescent="0.3">
      <c r="B93" s="1" t="str">
        <f t="shared" ca="1" si="4"/>
        <v/>
      </c>
      <c r="C93" s="2" t="str">
        <f t="shared" ca="1" si="5"/>
        <v/>
      </c>
    </row>
    <row r="94" spans="2:3" x14ac:dyDescent="0.3">
      <c r="B94" s="1" t="str">
        <f t="shared" ca="1" si="4"/>
        <v/>
      </c>
      <c r="C94" s="2" t="str">
        <f t="shared" ca="1" si="5"/>
        <v/>
      </c>
    </row>
    <row r="95" spans="2:3" x14ac:dyDescent="0.3">
      <c r="B95" s="1" t="str">
        <f t="shared" ca="1" si="4"/>
        <v/>
      </c>
      <c r="C95" s="2" t="str">
        <f t="shared" ca="1" si="5"/>
        <v/>
      </c>
    </row>
    <row r="96" spans="2:3" x14ac:dyDescent="0.3">
      <c r="B96" s="1" t="str">
        <f t="shared" ca="1" si="4"/>
        <v/>
      </c>
      <c r="C96" s="2" t="str">
        <f t="shared" ca="1" si="5"/>
        <v/>
      </c>
    </row>
    <row r="97" spans="2:3" x14ac:dyDescent="0.3">
      <c r="B97" s="1" t="str">
        <f t="shared" ca="1" si="4"/>
        <v/>
      </c>
      <c r="C97" s="2" t="str">
        <f t="shared" ca="1" si="5"/>
        <v/>
      </c>
    </row>
    <row r="98" spans="2:3" x14ac:dyDescent="0.3">
      <c r="B98" s="1" t="str">
        <f t="shared" ca="1" si="4"/>
        <v/>
      </c>
      <c r="C98" s="2" t="str">
        <f t="shared" ca="1" si="5"/>
        <v/>
      </c>
    </row>
    <row r="99" spans="2:3" x14ac:dyDescent="0.3">
      <c r="B99" s="1" t="str">
        <f t="shared" ca="1" si="4"/>
        <v/>
      </c>
      <c r="C99" s="2" t="str">
        <f t="shared" ca="1" si="5"/>
        <v/>
      </c>
    </row>
    <row r="100" spans="2:3" x14ac:dyDescent="0.3">
      <c r="B100" s="1" t="str">
        <f t="shared" ca="1" si="4"/>
        <v/>
      </c>
      <c r="C100" s="2" t="str">
        <f t="shared" ca="1" si="5"/>
        <v/>
      </c>
    </row>
    <row r="101" spans="2:3" x14ac:dyDescent="0.3">
      <c r="B101" s="1" t="str">
        <f t="shared" ca="1" si="4"/>
        <v/>
      </c>
      <c r="C101" s="2" t="str">
        <f t="shared" ca="1" si="5"/>
        <v/>
      </c>
    </row>
  </sheetData>
  <autoFilter ref="A3:H101" xr:uid="{66362345-CBD4-4F9F-8A37-4B0AA3662A4A}"/>
  <mergeCells count="115">
    <mergeCell ref="N54:R54"/>
    <mergeCell ref="N55:R55"/>
    <mergeCell ref="N56:R56"/>
    <mergeCell ref="N57:R57"/>
    <mergeCell ref="N58:R58"/>
    <mergeCell ref="N49:R49"/>
    <mergeCell ref="N50:R50"/>
    <mergeCell ref="N51:R51"/>
    <mergeCell ref="N52:R52"/>
    <mergeCell ref="N53:R53"/>
    <mergeCell ref="N44:R44"/>
    <mergeCell ref="N45:R45"/>
    <mergeCell ref="N46:R46"/>
    <mergeCell ref="N47:R47"/>
    <mergeCell ref="N48:R48"/>
    <mergeCell ref="N39:R39"/>
    <mergeCell ref="N40:R40"/>
    <mergeCell ref="N41:R41"/>
    <mergeCell ref="N42:R42"/>
    <mergeCell ref="N43:R43"/>
    <mergeCell ref="N34:R34"/>
    <mergeCell ref="N35:R35"/>
    <mergeCell ref="N36:R36"/>
    <mergeCell ref="N37:R37"/>
    <mergeCell ref="N38:R38"/>
    <mergeCell ref="N29:R29"/>
    <mergeCell ref="N30:R30"/>
    <mergeCell ref="N31:R31"/>
    <mergeCell ref="N32:R32"/>
    <mergeCell ref="N33:R33"/>
    <mergeCell ref="N24:R24"/>
    <mergeCell ref="N25:R25"/>
    <mergeCell ref="N26:R26"/>
    <mergeCell ref="N27:R27"/>
    <mergeCell ref="N28:R28"/>
    <mergeCell ref="N19:R19"/>
    <mergeCell ref="N20:R20"/>
    <mergeCell ref="N21:R21"/>
    <mergeCell ref="N22:R22"/>
    <mergeCell ref="N23:R23"/>
    <mergeCell ref="N14:R14"/>
    <mergeCell ref="N15:R15"/>
    <mergeCell ref="N16:R16"/>
    <mergeCell ref="N17:R17"/>
    <mergeCell ref="N18:R18"/>
    <mergeCell ref="N9:R9"/>
    <mergeCell ref="N10:R10"/>
    <mergeCell ref="N11:R11"/>
    <mergeCell ref="N12:R12"/>
    <mergeCell ref="N13:R13"/>
    <mergeCell ref="I54:M54"/>
    <mergeCell ref="I55:M55"/>
    <mergeCell ref="I56:M56"/>
    <mergeCell ref="I57:M57"/>
    <mergeCell ref="I58:M58"/>
    <mergeCell ref="I49:M49"/>
    <mergeCell ref="I50:M50"/>
    <mergeCell ref="I51:M51"/>
    <mergeCell ref="I52:M52"/>
    <mergeCell ref="I53:M53"/>
    <mergeCell ref="I44:M44"/>
    <mergeCell ref="I45:M45"/>
    <mergeCell ref="I46:M46"/>
    <mergeCell ref="I47:M47"/>
    <mergeCell ref="I48:M48"/>
    <mergeCell ref="I39:M39"/>
    <mergeCell ref="I40:M40"/>
    <mergeCell ref="I41:M41"/>
    <mergeCell ref="I42:M42"/>
    <mergeCell ref="I43:M43"/>
    <mergeCell ref="I34:M34"/>
    <mergeCell ref="I35:M35"/>
    <mergeCell ref="I36:M36"/>
    <mergeCell ref="I37:M37"/>
    <mergeCell ref="I38:M38"/>
    <mergeCell ref="I29:M29"/>
    <mergeCell ref="I30:M30"/>
    <mergeCell ref="I31:M31"/>
    <mergeCell ref="I32:M32"/>
    <mergeCell ref="I33:M33"/>
    <mergeCell ref="I24:M24"/>
    <mergeCell ref="I25:M25"/>
    <mergeCell ref="I26:M26"/>
    <mergeCell ref="I27:M27"/>
    <mergeCell ref="I28:M28"/>
    <mergeCell ref="I19:M19"/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9:M9"/>
    <mergeCell ref="I10:M10"/>
    <mergeCell ref="I11:M11"/>
    <mergeCell ref="I12:M12"/>
    <mergeCell ref="I13:M13"/>
    <mergeCell ref="A1:I2"/>
    <mergeCell ref="J1:J2"/>
    <mergeCell ref="K1:M2"/>
    <mergeCell ref="N1:R3"/>
    <mergeCell ref="I3:M3"/>
    <mergeCell ref="N8:R8"/>
    <mergeCell ref="I5:M5"/>
    <mergeCell ref="I6:M6"/>
    <mergeCell ref="I7:M7"/>
    <mergeCell ref="I8:M8"/>
    <mergeCell ref="I4:M4"/>
    <mergeCell ref="N4:R4"/>
    <mergeCell ref="N5:R5"/>
    <mergeCell ref="N6:R6"/>
    <mergeCell ref="N7:R7"/>
  </mergeCells>
  <conditionalFormatting sqref="D39:D55 D4:D37 D59:D1048576">
    <cfRule type="duplicateValues" dxfId="112" priority="10"/>
  </conditionalFormatting>
  <conditionalFormatting sqref="D56">
    <cfRule type="duplicateValues" dxfId="111" priority="9"/>
  </conditionalFormatting>
  <conditionalFormatting sqref="D57">
    <cfRule type="duplicateValues" dxfId="110" priority="8"/>
  </conditionalFormatting>
  <conditionalFormatting sqref="D58">
    <cfRule type="duplicateValues" dxfId="109" priority="7"/>
  </conditionalFormatting>
  <conditionalFormatting sqref="D4:D58">
    <cfRule type="duplicateValues" dxfId="108" priority="6"/>
  </conditionalFormatting>
  <conditionalFormatting sqref="D4:D1048576">
    <cfRule type="duplicateValues" dxfId="107" priority="5"/>
  </conditionalFormatting>
  <conditionalFormatting sqref="J1">
    <cfRule type="duplicateValues" dxfId="106" priority="4"/>
  </conditionalFormatting>
  <conditionalFormatting sqref="J1">
    <cfRule type="duplicateValues" dxfId="105" priority="3"/>
  </conditionalFormatting>
  <conditionalFormatting sqref="K1">
    <cfRule type="duplicateValues" dxfId="104" priority="2"/>
  </conditionalFormatting>
  <conditionalFormatting sqref="D4:D58 K1:M2">
    <cfRule type="duplicateValues" dxfId="103" priority="1"/>
  </conditionalFormatting>
  <dataValidations count="1">
    <dataValidation type="list" allowBlank="1" showInputMessage="1" showErrorMessage="1" sqref="H4:H58" xr:uid="{C030BE4E-17F9-4306-AF7F-BD68AF15284E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1"/>
  <sheetViews>
    <sheetView workbookViewId="0">
      <selection activeCell="D4" sqref="D4:D18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41"/>
      <c r="O1" s="41"/>
      <c r="P1" s="41"/>
      <c r="Q1" s="41"/>
      <c r="R1" s="4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43"/>
      <c r="O2" s="43"/>
      <c r="P2" s="43"/>
      <c r="Q2" s="43"/>
      <c r="R2" s="4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43"/>
      <c r="O3" s="43"/>
      <c r="P3" s="43"/>
      <c r="Q3" s="43"/>
      <c r="R3" s="44"/>
    </row>
    <row r="4" spans="1:23" ht="19.8" customHeight="1" x14ac:dyDescent="0.3">
      <c r="A4" s="18">
        <v>1</v>
      </c>
      <c r="B4" s="7">
        <f ca="1">IF(D4 &lt;&gt;"", IF(C4 ="", NOW(), C4), "")</f>
        <v>44850.396620833337</v>
      </c>
      <c r="C4" s="8">
        <f ca="1">IF(D4 &lt;&gt;"", IF(C4 ="", NOW(), C4), "")</f>
        <v>44850.396620833337</v>
      </c>
      <c r="D4" s="6" t="s">
        <v>450</v>
      </c>
      <c r="E4" s="7">
        <v>44854</v>
      </c>
      <c r="F4" s="7">
        <f t="shared" ref="F4" si="0">EDATE(E4,3)-0</f>
        <v>44946</v>
      </c>
      <c r="G4" s="9">
        <f t="shared" ref="G4" ca="1" si="1">E4-TODAY()</f>
        <v>-741</v>
      </c>
      <c r="H4" s="9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23" ht="19.8" customHeight="1" x14ac:dyDescent="0.3">
      <c r="A5" s="18">
        <v>2</v>
      </c>
      <c r="B5" s="7">
        <f t="shared" ref="B5:B53" ca="1" si="2">IF(D5 &lt;&gt;"", IF(C5 ="", NOW(), C5), "")</f>
        <v>44850.396664930558</v>
      </c>
      <c r="C5" s="8">
        <f t="shared" ref="C5:C53" ca="1" si="3">IF(D5 &lt;&gt;"", IF(C5 ="", NOW(), C5), "")</f>
        <v>44850.396664930558</v>
      </c>
      <c r="D5" s="6" t="s">
        <v>451</v>
      </c>
      <c r="E5" s="17"/>
      <c r="F5" s="17"/>
      <c r="G5" s="17"/>
      <c r="H5" s="9"/>
      <c r="I5" s="67"/>
      <c r="J5" s="67"/>
      <c r="K5" s="67"/>
      <c r="L5" s="67"/>
      <c r="M5" s="67"/>
      <c r="N5" s="67"/>
      <c r="O5" s="67"/>
      <c r="P5" s="67"/>
      <c r="Q5" s="67"/>
      <c r="R5" s="68"/>
    </row>
    <row r="6" spans="1:23" ht="19.8" customHeight="1" x14ac:dyDescent="0.3">
      <c r="A6" s="18">
        <v>3</v>
      </c>
      <c r="B6" s="7">
        <f t="shared" ca="1" si="2"/>
        <v>44850.396697453703</v>
      </c>
      <c r="C6" s="8">
        <f t="shared" ca="1" si="3"/>
        <v>44850.396697453703</v>
      </c>
      <c r="D6" s="6" t="s">
        <v>452</v>
      </c>
      <c r="E6" s="17"/>
      <c r="F6" s="17"/>
      <c r="G6" s="17"/>
      <c r="H6" s="9"/>
      <c r="I6" s="67"/>
      <c r="J6" s="67"/>
      <c r="K6" s="67"/>
      <c r="L6" s="67"/>
      <c r="M6" s="67"/>
      <c r="N6" s="67"/>
      <c r="O6" s="67"/>
      <c r="P6" s="67"/>
      <c r="Q6" s="67"/>
      <c r="R6" s="68"/>
    </row>
    <row r="7" spans="1:23" ht="19.8" customHeight="1" x14ac:dyDescent="0.3">
      <c r="A7" s="18">
        <v>4</v>
      </c>
      <c r="B7" s="7">
        <f t="shared" ca="1" si="2"/>
        <v>44850.396729282409</v>
      </c>
      <c r="C7" s="8">
        <f t="shared" ca="1" si="3"/>
        <v>44850.396729282409</v>
      </c>
      <c r="D7" s="6" t="s">
        <v>453</v>
      </c>
      <c r="E7" s="17"/>
      <c r="F7" s="17"/>
      <c r="G7" s="17"/>
      <c r="H7" s="9"/>
      <c r="I7" s="67"/>
      <c r="J7" s="67"/>
      <c r="K7" s="67"/>
      <c r="L7" s="67"/>
      <c r="M7" s="67"/>
      <c r="N7" s="67"/>
      <c r="O7" s="67"/>
      <c r="P7" s="67"/>
      <c r="Q7" s="67"/>
      <c r="R7" s="68"/>
    </row>
    <row r="8" spans="1:23" ht="19.8" customHeight="1" x14ac:dyDescent="0.3">
      <c r="A8" s="18">
        <v>5</v>
      </c>
      <c r="B8" s="7">
        <f t="shared" ca="1" si="2"/>
        <v>44850.396929513889</v>
      </c>
      <c r="C8" s="8">
        <f t="shared" ca="1" si="3"/>
        <v>44850.396929513889</v>
      </c>
      <c r="D8" s="6" t="s">
        <v>454</v>
      </c>
      <c r="E8" s="17"/>
      <c r="F8" s="17"/>
      <c r="G8" s="17"/>
      <c r="H8" s="9"/>
      <c r="I8" s="67"/>
      <c r="J8" s="67"/>
      <c r="K8" s="67"/>
      <c r="L8" s="67"/>
      <c r="M8" s="67"/>
      <c r="N8" s="67"/>
      <c r="O8" s="67"/>
      <c r="P8" s="67"/>
      <c r="Q8" s="67"/>
      <c r="R8" s="68"/>
    </row>
    <row r="9" spans="1:23" ht="19.8" customHeight="1" x14ac:dyDescent="0.3">
      <c r="A9" s="18">
        <v>6</v>
      </c>
      <c r="B9" s="7">
        <f t="shared" ca="1" si="2"/>
        <v>44850.396956481483</v>
      </c>
      <c r="C9" s="8">
        <f t="shared" ca="1" si="3"/>
        <v>44850.396956481483</v>
      </c>
      <c r="D9" s="6" t="s">
        <v>455</v>
      </c>
      <c r="E9" s="17"/>
      <c r="F9" s="17"/>
      <c r="G9" s="17"/>
      <c r="H9" s="9"/>
      <c r="I9" s="67"/>
      <c r="J9" s="67"/>
      <c r="K9" s="67"/>
      <c r="L9" s="67"/>
      <c r="M9" s="67"/>
      <c r="N9" s="67"/>
      <c r="O9" s="67"/>
      <c r="P9" s="67"/>
      <c r="Q9" s="67"/>
      <c r="R9" s="68"/>
    </row>
    <row r="10" spans="1:23" ht="19.8" customHeight="1" x14ac:dyDescent="0.3">
      <c r="A10" s="18">
        <v>7</v>
      </c>
      <c r="B10" s="7">
        <f t="shared" ca="1" si="2"/>
        <v>44850.397035532405</v>
      </c>
      <c r="C10" s="8">
        <f t="shared" ca="1" si="3"/>
        <v>44850.397035532405</v>
      </c>
      <c r="D10" s="6" t="s">
        <v>456</v>
      </c>
      <c r="E10" s="17"/>
      <c r="F10" s="17"/>
      <c r="G10" s="17"/>
      <c r="H10" s="9"/>
      <c r="I10" s="67"/>
      <c r="J10" s="67"/>
      <c r="K10" s="67"/>
      <c r="L10" s="67"/>
      <c r="M10" s="67"/>
      <c r="N10" s="67"/>
      <c r="O10" s="67"/>
      <c r="P10" s="67"/>
      <c r="Q10" s="67"/>
      <c r="R10" s="68"/>
    </row>
    <row r="11" spans="1:23" ht="19.8" customHeight="1" x14ac:dyDescent="0.3">
      <c r="A11" s="18">
        <v>8</v>
      </c>
      <c r="B11" s="7">
        <f t="shared" ca="1" si="2"/>
        <v>44850.397683564814</v>
      </c>
      <c r="C11" s="8">
        <f t="shared" ca="1" si="3"/>
        <v>44850.397683564814</v>
      </c>
      <c r="D11" s="6" t="s">
        <v>457</v>
      </c>
      <c r="E11" s="17"/>
      <c r="F11" s="17"/>
      <c r="G11" s="17"/>
      <c r="H11" s="9"/>
      <c r="I11" s="67"/>
      <c r="J11" s="67"/>
      <c r="K11" s="67"/>
      <c r="L11" s="67"/>
      <c r="M11" s="67"/>
      <c r="N11" s="67"/>
      <c r="O11" s="67"/>
      <c r="P11" s="67"/>
      <c r="Q11" s="67"/>
      <c r="R11" s="68"/>
    </row>
    <row r="12" spans="1:23" ht="19.8" customHeight="1" x14ac:dyDescent="0.3">
      <c r="A12" s="18">
        <v>9</v>
      </c>
      <c r="B12" s="7">
        <f t="shared" ca="1" si="2"/>
        <v>44850.398054050929</v>
      </c>
      <c r="C12" s="8">
        <f t="shared" ca="1" si="3"/>
        <v>44850.398054050929</v>
      </c>
      <c r="D12" s="6" t="s">
        <v>458</v>
      </c>
      <c r="E12" s="17"/>
      <c r="F12" s="17"/>
      <c r="G12" s="17"/>
      <c r="H12" s="9"/>
      <c r="I12" s="67"/>
      <c r="J12" s="67"/>
      <c r="K12" s="67"/>
      <c r="L12" s="67"/>
      <c r="M12" s="67"/>
      <c r="N12" s="67"/>
      <c r="O12" s="67"/>
      <c r="P12" s="67"/>
      <c r="Q12" s="67"/>
      <c r="R12" s="68"/>
    </row>
    <row r="13" spans="1:23" ht="19.8" customHeight="1" x14ac:dyDescent="0.3">
      <c r="A13" s="18">
        <v>10</v>
      </c>
      <c r="B13" s="7">
        <f t="shared" ca="1" si="2"/>
        <v>44850.398114814816</v>
      </c>
      <c r="C13" s="8">
        <f t="shared" ca="1" si="3"/>
        <v>44850.398114814816</v>
      </c>
      <c r="D13" s="6" t="s">
        <v>459</v>
      </c>
      <c r="E13" s="17"/>
      <c r="F13" s="17"/>
      <c r="G13" s="17"/>
      <c r="H13" s="9"/>
      <c r="I13" s="67"/>
      <c r="J13" s="67"/>
      <c r="K13" s="67"/>
      <c r="L13" s="67"/>
      <c r="M13" s="67"/>
      <c r="N13" s="67"/>
      <c r="O13" s="67"/>
      <c r="P13" s="67"/>
      <c r="Q13" s="67"/>
      <c r="R13" s="68"/>
    </row>
    <row r="14" spans="1:23" ht="19.8" customHeight="1" x14ac:dyDescent="0.3">
      <c r="A14" s="18">
        <v>11</v>
      </c>
      <c r="B14" s="7">
        <f t="shared" ca="1" si="2"/>
        <v>44850.398227546299</v>
      </c>
      <c r="C14" s="8">
        <f t="shared" ca="1" si="3"/>
        <v>44850.398227546299</v>
      </c>
      <c r="D14" s="6" t="s">
        <v>460</v>
      </c>
      <c r="E14" s="17"/>
      <c r="F14" s="17"/>
      <c r="G14" s="17"/>
      <c r="H14" s="9"/>
      <c r="I14" s="67"/>
      <c r="J14" s="67"/>
      <c r="K14" s="67"/>
      <c r="L14" s="67"/>
      <c r="M14" s="67"/>
      <c r="N14" s="67"/>
      <c r="O14" s="67"/>
      <c r="P14" s="67"/>
      <c r="Q14" s="67"/>
      <c r="R14" s="68"/>
    </row>
    <row r="15" spans="1:23" ht="19.8" customHeight="1" x14ac:dyDescent="0.3">
      <c r="A15" s="18">
        <v>12</v>
      </c>
      <c r="B15" s="7">
        <f t="shared" ca="1" si="2"/>
        <v>44850.39827719907</v>
      </c>
      <c r="C15" s="8">
        <f t="shared" ca="1" si="3"/>
        <v>44850.39827719907</v>
      </c>
      <c r="D15" s="6" t="s">
        <v>461</v>
      </c>
      <c r="E15" s="17"/>
      <c r="F15" s="17"/>
      <c r="G15" s="17"/>
      <c r="H15" s="9"/>
      <c r="I15" s="67"/>
      <c r="J15" s="67"/>
      <c r="K15" s="67"/>
      <c r="L15" s="67"/>
      <c r="M15" s="67"/>
      <c r="N15" s="67"/>
      <c r="O15" s="67"/>
      <c r="P15" s="67"/>
      <c r="Q15" s="67"/>
      <c r="R15" s="68"/>
    </row>
    <row r="16" spans="1:23" ht="19.8" customHeight="1" x14ac:dyDescent="0.3">
      <c r="A16" s="18">
        <v>13</v>
      </c>
      <c r="B16" s="7">
        <f t="shared" ca="1" si="2"/>
        <v>44850.398416782409</v>
      </c>
      <c r="C16" s="8">
        <f t="shared" ca="1" si="3"/>
        <v>44850.398416782409</v>
      </c>
      <c r="D16" s="6" t="s">
        <v>462</v>
      </c>
      <c r="E16" s="17"/>
      <c r="F16" s="17"/>
      <c r="G16" s="17"/>
      <c r="H16" s="9"/>
      <c r="I16" s="67"/>
      <c r="J16" s="67"/>
      <c r="K16" s="67"/>
      <c r="L16" s="67"/>
      <c r="M16" s="67"/>
      <c r="N16" s="67"/>
      <c r="O16" s="67"/>
      <c r="P16" s="67"/>
      <c r="Q16" s="67"/>
      <c r="R16" s="68"/>
    </row>
    <row r="17" spans="1:18" ht="19.8" customHeight="1" x14ac:dyDescent="0.3">
      <c r="A17" s="18">
        <v>14</v>
      </c>
      <c r="B17" s="7">
        <f t="shared" ca="1" si="2"/>
        <v>44850.398598263891</v>
      </c>
      <c r="C17" s="8">
        <f t="shared" ca="1" si="3"/>
        <v>44850.398598263891</v>
      </c>
      <c r="D17" s="6" t="s">
        <v>463</v>
      </c>
      <c r="E17" s="17"/>
      <c r="F17" s="17"/>
      <c r="G17" s="17"/>
      <c r="H17" s="9"/>
      <c r="I17" s="67"/>
      <c r="J17" s="67"/>
      <c r="K17" s="67"/>
      <c r="L17" s="67"/>
      <c r="M17" s="67"/>
      <c r="N17" s="67"/>
      <c r="O17" s="67"/>
      <c r="P17" s="67"/>
      <c r="Q17" s="67"/>
      <c r="R17" s="68"/>
    </row>
    <row r="18" spans="1:18" ht="19.8" customHeight="1" thickBot="1" x14ac:dyDescent="0.35">
      <c r="A18" s="19">
        <v>15</v>
      </c>
      <c r="B18" s="10">
        <f t="shared" ca="1" si="2"/>
        <v>44850.398936226855</v>
      </c>
      <c r="C18" s="11">
        <f t="shared" ca="1" si="3"/>
        <v>44850.398936226855</v>
      </c>
      <c r="D18" s="12" t="s">
        <v>464</v>
      </c>
      <c r="E18" s="20"/>
      <c r="F18" s="20"/>
      <c r="G18" s="20"/>
      <c r="H18" s="9"/>
      <c r="I18" s="69"/>
      <c r="J18" s="69"/>
      <c r="K18" s="69"/>
      <c r="L18" s="69"/>
      <c r="M18" s="69"/>
      <c r="N18" s="69"/>
      <c r="O18" s="69"/>
      <c r="P18" s="69"/>
      <c r="Q18" s="69"/>
      <c r="R18" s="70"/>
    </row>
    <row r="19" spans="1:18" x14ac:dyDescent="0.3">
      <c r="B19" s="1" t="str">
        <f t="shared" ca="1" si="2"/>
        <v/>
      </c>
      <c r="C19" s="2" t="str">
        <f t="shared" ca="1" si="3"/>
        <v/>
      </c>
    </row>
    <row r="20" spans="1:18" x14ac:dyDescent="0.3">
      <c r="B20" s="1" t="str">
        <f t="shared" ca="1" si="2"/>
        <v/>
      </c>
      <c r="C20" s="2" t="str">
        <f t="shared" ca="1" si="3"/>
        <v/>
      </c>
    </row>
    <row r="21" spans="1:18" x14ac:dyDescent="0.3">
      <c r="B21" s="1" t="str">
        <f t="shared" ca="1" si="2"/>
        <v/>
      </c>
      <c r="C21" s="2" t="str">
        <f t="shared" ca="1" si="3"/>
        <v/>
      </c>
    </row>
    <row r="22" spans="1:18" x14ac:dyDescent="0.3">
      <c r="B22" s="1" t="str">
        <f t="shared" ca="1" si="2"/>
        <v/>
      </c>
      <c r="C22" s="2" t="str">
        <f t="shared" ca="1" si="3"/>
        <v/>
      </c>
    </row>
    <row r="23" spans="1:18" x14ac:dyDescent="0.3">
      <c r="B23" s="1" t="str">
        <f t="shared" ca="1" si="2"/>
        <v/>
      </c>
      <c r="C23" s="2" t="str">
        <f t="shared" ca="1" si="3"/>
        <v/>
      </c>
    </row>
    <row r="24" spans="1:18" x14ac:dyDescent="0.3">
      <c r="B24" s="1" t="str">
        <f t="shared" ca="1" si="2"/>
        <v/>
      </c>
      <c r="C24" s="2" t="str">
        <f t="shared" ca="1" si="3"/>
        <v/>
      </c>
    </row>
    <row r="25" spans="1:18" x14ac:dyDescent="0.3">
      <c r="B25" s="1" t="str">
        <f t="shared" ca="1" si="2"/>
        <v/>
      </c>
      <c r="C25" s="2" t="str">
        <f t="shared" ca="1" si="3"/>
        <v/>
      </c>
    </row>
    <row r="26" spans="1:18" x14ac:dyDescent="0.3">
      <c r="B26" s="1" t="str">
        <f t="shared" ca="1" si="2"/>
        <v/>
      </c>
      <c r="C26" s="2" t="str">
        <f t="shared" ca="1" si="3"/>
        <v/>
      </c>
    </row>
    <row r="27" spans="1:18" x14ac:dyDescent="0.3">
      <c r="B27" s="1" t="str">
        <f t="shared" ca="1" si="2"/>
        <v/>
      </c>
      <c r="C27" s="2" t="str">
        <f t="shared" ca="1" si="3"/>
        <v/>
      </c>
    </row>
    <row r="28" spans="1:18" x14ac:dyDescent="0.3">
      <c r="B28" s="1" t="str">
        <f t="shared" ca="1" si="2"/>
        <v/>
      </c>
      <c r="C28" s="2" t="str">
        <f t="shared" ca="1" si="3"/>
        <v/>
      </c>
    </row>
    <row r="29" spans="1:18" x14ac:dyDescent="0.3">
      <c r="B29" s="1" t="str">
        <f t="shared" ca="1" si="2"/>
        <v/>
      </c>
      <c r="C29" s="2" t="str">
        <f t="shared" ca="1" si="3"/>
        <v/>
      </c>
    </row>
    <row r="30" spans="1:18" x14ac:dyDescent="0.3">
      <c r="B30" s="1" t="str">
        <f t="shared" ca="1" si="2"/>
        <v/>
      </c>
      <c r="C30" s="2" t="str">
        <f t="shared" ca="1" si="3"/>
        <v/>
      </c>
    </row>
    <row r="31" spans="1:18" x14ac:dyDescent="0.3">
      <c r="B31" s="1" t="str">
        <f t="shared" ca="1" si="2"/>
        <v/>
      </c>
      <c r="C31" s="2" t="str">
        <f t="shared" ca="1" si="3"/>
        <v/>
      </c>
    </row>
    <row r="32" spans="1:18" x14ac:dyDescent="0.3">
      <c r="B32" s="1" t="str">
        <f t="shared" ca="1" si="2"/>
        <v/>
      </c>
      <c r="C32" s="2" t="str">
        <f t="shared" ca="1" si="3"/>
        <v/>
      </c>
    </row>
    <row r="33" spans="2:3" x14ac:dyDescent="0.3">
      <c r="B33" s="1" t="str">
        <f t="shared" ca="1" si="2"/>
        <v/>
      </c>
      <c r="C33" s="2" t="str">
        <f t="shared" ca="1" si="3"/>
        <v/>
      </c>
    </row>
    <row r="34" spans="2:3" x14ac:dyDescent="0.3">
      <c r="B34" s="1" t="str">
        <f t="shared" ca="1" si="2"/>
        <v/>
      </c>
      <c r="C34" s="2" t="str">
        <f t="shared" ca="1" si="3"/>
        <v/>
      </c>
    </row>
    <row r="35" spans="2:3" x14ac:dyDescent="0.3">
      <c r="B35" s="1" t="str">
        <f t="shared" ca="1" si="2"/>
        <v/>
      </c>
      <c r="C35" s="2" t="str">
        <f t="shared" ca="1" si="3"/>
        <v/>
      </c>
    </row>
    <row r="36" spans="2:3" x14ac:dyDescent="0.3">
      <c r="B36" s="1" t="str">
        <f t="shared" ca="1" si="2"/>
        <v/>
      </c>
      <c r="C36" s="2" t="str">
        <f t="shared" ca="1" si="3"/>
        <v/>
      </c>
    </row>
    <row r="37" spans="2:3" x14ac:dyDescent="0.3">
      <c r="B37" s="1" t="str">
        <f t="shared" ca="1" si="2"/>
        <v/>
      </c>
      <c r="C37" s="2" t="str">
        <f t="shared" ca="1" si="3"/>
        <v/>
      </c>
    </row>
    <row r="38" spans="2:3" x14ac:dyDescent="0.3">
      <c r="B38" s="1" t="str">
        <f t="shared" ca="1" si="2"/>
        <v/>
      </c>
      <c r="C38" s="2" t="str">
        <f t="shared" ca="1" si="3"/>
        <v/>
      </c>
    </row>
    <row r="39" spans="2:3" x14ac:dyDescent="0.3">
      <c r="B39" s="1" t="str">
        <f t="shared" ca="1" si="2"/>
        <v/>
      </c>
      <c r="C39" s="2" t="str">
        <f t="shared" ca="1" si="3"/>
        <v/>
      </c>
    </row>
    <row r="40" spans="2:3" x14ac:dyDescent="0.3">
      <c r="B40" s="1" t="str">
        <f t="shared" ca="1" si="2"/>
        <v/>
      </c>
      <c r="C40" s="2" t="str">
        <f t="shared" ca="1" si="3"/>
        <v/>
      </c>
    </row>
    <row r="41" spans="2:3" x14ac:dyDescent="0.3">
      <c r="B41" s="1" t="str">
        <f t="shared" ca="1" si="2"/>
        <v/>
      </c>
      <c r="C41" s="2" t="str">
        <f t="shared" ca="1" si="3"/>
        <v/>
      </c>
    </row>
    <row r="42" spans="2:3" x14ac:dyDescent="0.3">
      <c r="B42" s="1" t="str">
        <f t="shared" ca="1" si="2"/>
        <v/>
      </c>
      <c r="C42" s="2" t="str">
        <f t="shared" ca="1" si="3"/>
        <v/>
      </c>
    </row>
    <row r="43" spans="2:3" x14ac:dyDescent="0.3">
      <c r="B43" s="1" t="str">
        <f t="shared" ca="1" si="2"/>
        <v/>
      </c>
      <c r="C43" s="2" t="str">
        <f t="shared" ca="1" si="3"/>
        <v/>
      </c>
    </row>
    <row r="44" spans="2:3" x14ac:dyDescent="0.3">
      <c r="B44" s="1" t="str">
        <f t="shared" ca="1" si="2"/>
        <v/>
      </c>
      <c r="C44" s="2" t="str">
        <f t="shared" ca="1" si="3"/>
        <v/>
      </c>
    </row>
    <row r="45" spans="2:3" x14ac:dyDescent="0.3">
      <c r="B45" s="1" t="str">
        <f t="shared" ca="1" si="2"/>
        <v/>
      </c>
      <c r="C45" s="2" t="str">
        <f t="shared" ca="1" si="3"/>
        <v/>
      </c>
    </row>
    <row r="46" spans="2:3" x14ac:dyDescent="0.3">
      <c r="B46" s="1" t="str">
        <f t="shared" ca="1" si="2"/>
        <v/>
      </c>
      <c r="C46" s="2" t="str">
        <f t="shared" ca="1" si="3"/>
        <v/>
      </c>
    </row>
    <row r="47" spans="2:3" x14ac:dyDescent="0.3">
      <c r="B47" s="1" t="str">
        <f t="shared" ca="1" si="2"/>
        <v/>
      </c>
      <c r="C47" s="2" t="str">
        <f t="shared" ca="1" si="3"/>
        <v/>
      </c>
    </row>
    <row r="48" spans="2:3" x14ac:dyDescent="0.3">
      <c r="B48" s="1" t="str">
        <f t="shared" ca="1" si="2"/>
        <v/>
      </c>
      <c r="C48" s="2" t="str">
        <f t="shared" ca="1" si="3"/>
        <v/>
      </c>
    </row>
    <row r="49" spans="2:3" x14ac:dyDescent="0.3">
      <c r="B49" s="1" t="str">
        <f t="shared" ca="1" si="2"/>
        <v/>
      </c>
      <c r="C49" s="2" t="str">
        <f t="shared" ca="1" si="3"/>
        <v/>
      </c>
    </row>
    <row r="50" spans="2:3" x14ac:dyDescent="0.3">
      <c r="B50" s="1" t="str">
        <f t="shared" ca="1" si="2"/>
        <v/>
      </c>
      <c r="C50" s="2" t="str">
        <f t="shared" ca="1" si="3"/>
        <v/>
      </c>
    </row>
    <row r="51" spans="2:3" x14ac:dyDescent="0.3">
      <c r="B51" s="1" t="str">
        <f t="shared" ca="1" si="2"/>
        <v/>
      </c>
      <c r="C51" s="2" t="str">
        <f t="shared" ca="1" si="3"/>
        <v/>
      </c>
    </row>
    <row r="52" spans="2:3" x14ac:dyDescent="0.3">
      <c r="B52" s="1" t="str">
        <f t="shared" ca="1" si="2"/>
        <v/>
      </c>
      <c r="C52" s="2" t="str">
        <f t="shared" ca="1" si="3"/>
        <v/>
      </c>
    </row>
    <row r="53" spans="2:3" x14ac:dyDescent="0.3">
      <c r="B53" s="1" t="str">
        <f t="shared" ca="1" si="2"/>
        <v/>
      </c>
      <c r="C53" s="2" t="str">
        <f t="shared" ca="1" si="3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68" ca="1" si="4">IF(D56 &lt;&gt;"", IF(C56 ="", NOW(), C56), "")</f>
        <v/>
      </c>
      <c r="C56" s="2" t="str">
        <f t="shared" ref="C56:C68" ca="1" si="5">IF(D56 &lt;&gt;"", IF(C56 ="", NOW(), C56), "")</f>
        <v/>
      </c>
    </row>
    <row r="57" spans="2:3" x14ac:dyDescent="0.3">
      <c r="B57" s="1" t="str">
        <f t="shared" ca="1" si="4"/>
        <v/>
      </c>
      <c r="C57" s="2" t="str">
        <f t="shared" ca="1" si="5"/>
        <v/>
      </c>
    </row>
    <row r="58" spans="2:3" x14ac:dyDescent="0.3">
      <c r="B58" s="1" t="str">
        <f t="shared" ca="1" si="4"/>
        <v/>
      </c>
      <c r="C58" s="2" t="str">
        <f t="shared" ca="1" si="5"/>
        <v/>
      </c>
    </row>
    <row r="59" spans="2:3" x14ac:dyDescent="0.3">
      <c r="B59" s="1" t="str">
        <f t="shared" ca="1" si="4"/>
        <v/>
      </c>
      <c r="C59" s="2" t="str">
        <f t="shared" ca="1" si="5"/>
        <v/>
      </c>
    </row>
    <row r="60" spans="2:3" x14ac:dyDescent="0.3">
      <c r="B60" s="1" t="str">
        <f t="shared" ca="1" si="4"/>
        <v/>
      </c>
      <c r="C60" s="2" t="str">
        <f t="shared" ca="1" si="5"/>
        <v/>
      </c>
    </row>
    <row r="61" spans="2:3" x14ac:dyDescent="0.3">
      <c r="B61" s="1" t="str">
        <f t="shared" ca="1" si="4"/>
        <v/>
      </c>
      <c r="C61" s="2" t="str">
        <f t="shared" ca="1" si="5"/>
        <v/>
      </c>
    </row>
    <row r="62" spans="2:3" x14ac:dyDescent="0.3">
      <c r="B62" s="1" t="str">
        <f t="shared" ca="1" si="4"/>
        <v/>
      </c>
      <c r="C62" s="2" t="str">
        <f t="shared" ca="1" si="5"/>
        <v/>
      </c>
    </row>
    <row r="63" spans="2:3" x14ac:dyDescent="0.3">
      <c r="B63" s="1" t="str">
        <f t="shared" ca="1" si="4"/>
        <v/>
      </c>
      <c r="C63" s="2" t="str">
        <f t="shared" ca="1" si="5"/>
        <v/>
      </c>
    </row>
    <row r="64" spans="2:3" x14ac:dyDescent="0.3">
      <c r="B64" s="1" t="str">
        <f t="shared" ca="1" si="4"/>
        <v/>
      </c>
      <c r="C64" s="2" t="str">
        <f t="shared" ca="1" si="5"/>
        <v/>
      </c>
    </row>
    <row r="65" spans="2:3" x14ac:dyDescent="0.3">
      <c r="B65" s="1" t="str">
        <f t="shared" ca="1" si="4"/>
        <v/>
      </c>
      <c r="C65" s="2" t="str">
        <f t="shared" ca="1" si="5"/>
        <v/>
      </c>
    </row>
    <row r="66" spans="2:3" x14ac:dyDescent="0.3">
      <c r="B66" s="1" t="str">
        <f t="shared" ca="1" si="4"/>
        <v/>
      </c>
      <c r="C66" s="2" t="str">
        <f t="shared" ca="1" si="5"/>
        <v/>
      </c>
    </row>
    <row r="67" spans="2:3" x14ac:dyDescent="0.3">
      <c r="B67" s="1" t="str">
        <f t="shared" ca="1" si="4"/>
        <v/>
      </c>
      <c r="C67" s="2" t="str">
        <f t="shared" ca="1" si="5"/>
        <v/>
      </c>
    </row>
    <row r="68" spans="2:3" x14ac:dyDescent="0.3">
      <c r="B68" s="1" t="str">
        <f t="shared" ca="1" si="4"/>
        <v/>
      </c>
      <c r="C68" s="2" t="str">
        <f t="shared" ca="1" si="5"/>
        <v/>
      </c>
    </row>
    <row r="69" spans="2:3" x14ac:dyDescent="0.3">
      <c r="B69" s="1" t="str">
        <f t="shared" ref="B69:B101" ca="1" si="6">IF(D69 &lt;&gt;"", IF(C69 ="", NOW(), C69), "")</f>
        <v/>
      </c>
      <c r="C69" s="2" t="str">
        <f t="shared" ref="C69:C101" ca="1" si="7">IF(D69 &lt;&gt;"", IF(C69 ="", NOW(), C69), "")</f>
        <v/>
      </c>
    </row>
    <row r="70" spans="2:3" x14ac:dyDescent="0.3">
      <c r="B70" s="1" t="str">
        <f t="shared" ca="1" si="6"/>
        <v/>
      </c>
      <c r="C70" s="2" t="str">
        <f t="shared" ca="1" si="7"/>
        <v/>
      </c>
    </row>
    <row r="71" spans="2:3" x14ac:dyDescent="0.3">
      <c r="B71" s="1" t="str">
        <f t="shared" ca="1" si="6"/>
        <v/>
      </c>
      <c r="C71" s="2" t="str">
        <f t="shared" ca="1" si="7"/>
        <v/>
      </c>
    </row>
    <row r="72" spans="2:3" x14ac:dyDescent="0.3">
      <c r="B72" s="1" t="str">
        <f t="shared" ca="1" si="6"/>
        <v/>
      </c>
      <c r="C72" s="2" t="str">
        <f t="shared" ca="1" si="7"/>
        <v/>
      </c>
    </row>
    <row r="73" spans="2:3" x14ac:dyDescent="0.3">
      <c r="B73" s="1" t="str">
        <f t="shared" ca="1" si="6"/>
        <v/>
      </c>
      <c r="C73" s="2" t="str">
        <f t="shared" ca="1" si="7"/>
        <v/>
      </c>
    </row>
    <row r="74" spans="2:3" x14ac:dyDescent="0.3">
      <c r="B74" s="1" t="str">
        <f t="shared" ca="1" si="6"/>
        <v/>
      </c>
      <c r="C74" s="2" t="str">
        <f t="shared" ca="1" si="7"/>
        <v/>
      </c>
    </row>
    <row r="75" spans="2:3" x14ac:dyDescent="0.3">
      <c r="B75" s="1" t="str">
        <f t="shared" ca="1" si="6"/>
        <v/>
      </c>
      <c r="C75" s="2" t="str">
        <f t="shared" ca="1" si="7"/>
        <v/>
      </c>
    </row>
    <row r="76" spans="2:3" x14ac:dyDescent="0.3">
      <c r="B76" s="1" t="str">
        <f t="shared" ca="1" si="6"/>
        <v/>
      </c>
      <c r="C76" s="2" t="str">
        <f t="shared" ca="1" si="7"/>
        <v/>
      </c>
    </row>
    <row r="77" spans="2:3" x14ac:dyDescent="0.3">
      <c r="B77" s="1" t="str">
        <f t="shared" ca="1" si="6"/>
        <v/>
      </c>
      <c r="C77" s="2" t="str">
        <f t="shared" ca="1" si="7"/>
        <v/>
      </c>
    </row>
    <row r="78" spans="2:3" x14ac:dyDescent="0.3">
      <c r="B78" s="1" t="str">
        <f t="shared" ca="1" si="6"/>
        <v/>
      </c>
      <c r="C78" s="2" t="str">
        <f t="shared" ca="1" si="7"/>
        <v/>
      </c>
    </row>
    <row r="79" spans="2:3" x14ac:dyDescent="0.3">
      <c r="B79" s="1" t="str">
        <f t="shared" ca="1" si="6"/>
        <v/>
      </c>
      <c r="C79" s="2" t="str">
        <f t="shared" ca="1" si="7"/>
        <v/>
      </c>
    </row>
    <row r="80" spans="2:3" x14ac:dyDescent="0.3">
      <c r="B80" s="1" t="str">
        <f t="shared" ca="1" si="6"/>
        <v/>
      </c>
      <c r="C80" s="2" t="str">
        <f t="shared" ca="1" si="7"/>
        <v/>
      </c>
    </row>
    <row r="81" spans="2:3" x14ac:dyDescent="0.3">
      <c r="B81" s="1" t="str">
        <f t="shared" ca="1" si="6"/>
        <v/>
      </c>
      <c r="C81" s="2" t="str">
        <f t="shared" ca="1" si="7"/>
        <v/>
      </c>
    </row>
    <row r="82" spans="2:3" x14ac:dyDescent="0.3">
      <c r="B82" s="1" t="str">
        <f t="shared" ca="1" si="6"/>
        <v/>
      </c>
      <c r="C82" s="2" t="str">
        <f t="shared" ca="1" si="7"/>
        <v/>
      </c>
    </row>
    <row r="83" spans="2:3" x14ac:dyDescent="0.3">
      <c r="B83" s="1" t="str">
        <f t="shared" ca="1" si="6"/>
        <v/>
      </c>
      <c r="C83" s="2" t="str">
        <f t="shared" ca="1" si="7"/>
        <v/>
      </c>
    </row>
    <row r="84" spans="2:3" x14ac:dyDescent="0.3">
      <c r="B84" s="1" t="str">
        <f t="shared" ca="1" si="6"/>
        <v/>
      </c>
      <c r="C84" s="2" t="str">
        <f t="shared" ca="1" si="7"/>
        <v/>
      </c>
    </row>
    <row r="85" spans="2:3" x14ac:dyDescent="0.3">
      <c r="B85" s="1" t="str">
        <f t="shared" ca="1" si="6"/>
        <v/>
      </c>
      <c r="C85" s="2" t="str">
        <f t="shared" ca="1" si="7"/>
        <v/>
      </c>
    </row>
    <row r="86" spans="2:3" x14ac:dyDescent="0.3">
      <c r="B86" s="1" t="str">
        <f t="shared" ca="1" si="6"/>
        <v/>
      </c>
      <c r="C86" s="2" t="str">
        <f t="shared" ca="1" si="7"/>
        <v/>
      </c>
    </row>
    <row r="87" spans="2:3" x14ac:dyDescent="0.3">
      <c r="B87" s="1" t="str">
        <f t="shared" ca="1" si="6"/>
        <v/>
      </c>
      <c r="C87" s="2" t="str">
        <f t="shared" ca="1" si="7"/>
        <v/>
      </c>
    </row>
    <row r="88" spans="2:3" x14ac:dyDescent="0.3">
      <c r="B88" s="1" t="str">
        <f t="shared" ca="1" si="6"/>
        <v/>
      </c>
      <c r="C88" s="2" t="str">
        <f t="shared" ca="1" si="7"/>
        <v/>
      </c>
    </row>
    <row r="89" spans="2:3" x14ac:dyDescent="0.3">
      <c r="B89" s="1" t="str">
        <f t="shared" ca="1" si="6"/>
        <v/>
      </c>
      <c r="C89" s="2" t="str">
        <f t="shared" ca="1" si="7"/>
        <v/>
      </c>
    </row>
    <row r="90" spans="2:3" x14ac:dyDescent="0.3">
      <c r="B90" s="1" t="str">
        <f t="shared" ca="1" si="6"/>
        <v/>
      </c>
      <c r="C90" s="2" t="str">
        <f t="shared" ca="1" si="7"/>
        <v/>
      </c>
    </row>
    <row r="91" spans="2:3" x14ac:dyDescent="0.3">
      <c r="B91" s="1" t="str">
        <f t="shared" ca="1" si="6"/>
        <v/>
      </c>
      <c r="C91" s="2" t="str">
        <f t="shared" ca="1" si="7"/>
        <v/>
      </c>
    </row>
    <row r="92" spans="2:3" x14ac:dyDescent="0.3">
      <c r="B92" s="1" t="str">
        <f t="shared" ca="1" si="6"/>
        <v/>
      </c>
      <c r="C92" s="2" t="str">
        <f t="shared" ca="1" si="7"/>
        <v/>
      </c>
    </row>
    <row r="93" spans="2:3" x14ac:dyDescent="0.3">
      <c r="B93" s="1" t="str">
        <f t="shared" ca="1" si="6"/>
        <v/>
      </c>
      <c r="C93" s="2" t="str">
        <f t="shared" ca="1" si="7"/>
        <v/>
      </c>
    </row>
    <row r="94" spans="2:3" x14ac:dyDescent="0.3">
      <c r="B94" s="1" t="str">
        <f t="shared" ca="1" si="6"/>
        <v/>
      </c>
      <c r="C94" s="2" t="str">
        <f t="shared" ca="1" si="7"/>
        <v/>
      </c>
    </row>
    <row r="95" spans="2:3" x14ac:dyDescent="0.3">
      <c r="B95" s="1" t="str">
        <f t="shared" ca="1" si="6"/>
        <v/>
      </c>
      <c r="C95" s="2" t="str">
        <f t="shared" ca="1" si="7"/>
        <v/>
      </c>
    </row>
    <row r="96" spans="2:3" x14ac:dyDescent="0.3">
      <c r="B96" s="1" t="str">
        <f t="shared" ca="1" si="6"/>
        <v/>
      </c>
      <c r="C96" s="2" t="str">
        <f t="shared" ca="1" si="7"/>
        <v/>
      </c>
    </row>
    <row r="97" spans="2:3" x14ac:dyDescent="0.3">
      <c r="B97" s="1" t="str">
        <f t="shared" ca="1" si="6"/>
        <v/>
      </c>
      <c r="C97" s="2" t="str">
        <f t="shared" ca="1" si="7"/>
        <v/>
      </c>
    </row>
    <row r="98" spans="2:3" x14ac:dyDescent="0.3">
      <c r="B98" s="1" t="str">
        <f t="shared" ca="1" si="6"/>
        <v/>
      </c>
      <c r="C98" s="2" t="str">
        <f t="shared" ca="1" si="7"/>
        <v/>
      </c>
    </row>
    <row r="99" spans="2:3" x14ac:dyDescent="0.3">
      <c r="B99" s="1" t="str">
        <f t="shared" ca="1" si="6"/>
        <v/>
      </c>
      <c r="C99" s="2" t="str">
        <f t="shared" ca="1" si="7"/>
        <v/>
      </c>
    </row>
    <row r="100" spans="2:3" x14ac:dyDescent="0.3">
      <c r="B100" s="1" t="str">
        <f t="shared" ca="1" si="6"/>
        <v/>
      </c>
      <c r="C100" s="2" t="str">
        <f t="shared" ca="1" si="7"/>
        <v/>
      </c>
    </row>
    <row r="101" spans="2:3" x14ac:dyDescent="0.3">
      <c r="B101" s="1" t="str">
        <f t="shared" ca="1" si="6"/>
        <v/>
      </c>
      <c r="C101" s="2" t="str">
        <f t="shared" ca="1" si="7"/>
        <v/>
      </c>
    </row>
  </sheetData>
  <autoFilter ref="A3:H101" xr:uid="{ABF49E88-EC62-450E-85FE-A9022AC84895}"/>
  <mergeCells count="35">
    <mergeCell ref="N14:R14"/>
    <mergeCell ref="N15:R15"/>
    <mergeCell ref="N16:R16"/>
    <mergeCell ref="N17:R17"/>
    <mergeCell ref="N18:R18"/>
    <mergeCell ref="N9:R9"/>
    <mergeCell ref="N10:R10"/>
    <mergeCell ref="N11:R11"/>
    <mergeCell ref="N12:R12"/>
    <mergeCell ref="N13:R13"/>
    <mergeCell ref="N4:R4"/>
    <mergeCell ref="N5:R5"/>
    <mergeCell ref="N6:R6"/>
    <mergeCell ref="N7:R7"/>
    <mergeCell ref="N8:R8"/>
    <mergeCell ref="I14:M14"/>
    <mergeCell ref="I15:M15"/>
    <mergeCell ref="I16:M16"/>
    <mergeCell ref="I17:M17"/>
    <mergeCell ref="I18:M18"/>
    <mergeCell ref="I9:M9"/>
    <mergeCell ref="I10:M10"/>
    <mergeCell ref="I11:M11"/>
    <mergeCell ref="I12:M12"/>
    <mergeCell ref="I13:M13"/>
    <mergeCell ref="I4:M4"/>
    <mergeCell ref="I5:M5"/>
    <mergeCell ref="I6:M6"/>
    <mergeCell ref="I7:M7"/>
    <mergeCell ref="I8:M8"/>
    <mergeCell ref="A1:I2"/>
    <mergeCell ref="J1:J2"/>
    <mergeCell ref="K1:M2"/>
    <mergeCell ref="N1:R3"/>
    <mergeCell ref="I3:M3"/>
  </mergeCells>
  <conditionalFormatting sqref="D4:D37 D39:D1048576">
    <cfRule type="duplicateValues" dxfId="102" priority="7"/>
  </conditionalFormatting>
  <conditionalFormatting sqref="D4:D1048576">
    <cfRule type="duplicateValues" dxfId="101" priority="6"/>
  </conditionalFormatting>
  <conditionalFormatting sqref="J1">
    <cfRule type="duplicateValues" dxfId="100" priority="5"/>
  </conditionalFormatting>
  <conditionalFormatting sqref="J1">
    <cfRule type="duplicateValues" dxfId="99" priority="4"/>
  </conditionalFormatting>
  <conditionalFormatting sqref="K1">
    <cfRule type="duplicateValues" dxfId="98" priority="3"/>
  </conditionalFormatting>
  <conditionalFormatting sqref="K1:M2">
    <cfRule type="duplicateValues" dxfId="97" priority="2"/>
  </conditionalFormatting>
  <conditionalFormatting sqref="D4:D18 K1:M2">
    <cfRule type="duplicateValues" dxfId="96" priority="1"/>
  </conditionalFormatting>
  <dataValidations count="1">
    <dataValidation type="list" allowBlank="1" showInputMessage="1" showErrorMessage="1" sqref="H4:H18" xr:uid="{BE935A5A-1AA2-475C-8736-F19432F5AE68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101"/>
  <sheetViews>
    <sheetView workbookViewId="0">
      <selection activeCell="D4" sqref="D4:D14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s="3" customFormat="1" ht="21" customHeight="1" x14ac:dyDescent="0.3">
      <c r="A4" s="18">
        <v>1</v>
      </c>
      <c r="B4" s="7">
        <f ca="1">IF(D4 &lt;&gt;"", IF(C4 ="", NOW(), C4), "")</f>
        <v>44850.401110300925</v>
      </c>
      <c r="C4" s="8">
        <f ca="1">IF(D4 &lt;&gt;"", IF(C4 ="", NOW(), C4), "")</f>
        <v>44850.401110300925</v>
      </c>
      <c r="D4" s="6" t="s">
        <v>469</v>
      </c>
      <c r="E4" s="7">
        <v>44854</v>
      </c>
      <c r="F4" s="7">
        <f t="shared" ref="F4" si="0">EDATE(E4,3)-0</f>
        <v>44946</v>
      </c>
      <c r="G4" s="9">
        <f t="shared" ref="G4" ca="1" si="1">E4-TODAY()</f>
        <v>-741</v>
      </c>
      <c r="H4" s="9"/>
      <c r="I4" s="75"/>
      <c r="J4" s="75"/>
      <c r="K4" s="75"/>
      <c r="L4" s="75"/>
      <c r="M4" s="75"/>
      <c r="N4" s="75"/>
      <c r="O4" s="75"/>
      <c r="P4" s="75"/>
      <c r="Q4" s="75"/>
      <c r="R4" s="77"/>
    </row>
    <row r="5" spans="1:23" s="3" customFormat="1" ht="21" customHeight="1" x14ac:dyDescent="0.3">
      <c r="A5" s="18">
        <v>2</v>
      </c>
      <c r="B5" s="7">
        <f t="shared" ref="B5:B53" ca="1" si="2">IF(D5 &lt;&gt;"", IF(C5 ="", NOW(), C5), "")</f>
        <v>44850.401188888885</v>
      </c>
      <c r="C5" s="8">
        <f t="shared" ref="C5:C53" ca="1" si="3">IF(D5 &lt;&gt;"", IF(C5 ="", NOW(), C5), "")</f>
        <v>44850.401188888885</v>
      </c>
      <c r="D5" s="6" t="s">
        <v>470</v>
      </c>
      <c r="E5" s="6"/>
      <c r="F5" s="6"/>
      <c r="G5" s="6"/>
      <c r="H5" s="9"/>
      <c r="I5" s="75"/>
      <c r="J5" s="75"/>
      <c r="K5" s="75"/>
      <c r="L5" s="75"/>
      <c r="M5" s="75"/>
      <c r="N5" s="75"/>
      <c r="O5" s="75"/>
      <c r="P5" s="75"/>
      <c r="Q5" s="75"/>
      <c r="R5" s="77"/>
    </row>
    <row r="6" spans="1:23" s="3" customFormat="1" ht="21" customHeight="1" x14ac:dyDescent="0.3">
      <c r="A6" s="18">
        <v>3</v>
      </c>
      <c r="B6" s="7">
        <f t="shared" ca="1" si="2"/>
        <v>44850.401321759258</v>
      </c>
      <c r="C6" s="8">
        <f t="shared" ca="1" si="3"/>
        <v>44850.401321759258</v>
      </c>
      <c r="D6" s="6" t="s">
        <v>471</v>
      </c>
      <c r="E6" s="6"/>
      <c r="F6" s="6"/>
      <c r="G6" s="6"/>
      <c r="H6" s="9"/>
      <c r="I6" s="75"/>
      <c r="J6" s="75"/>
      <c r="K6" s="75"/>
      <c r="L6" s="75"/>
      <c r="M6" s="75"/>
      <c r="N6" s="75"/>
      <c r="O6" s="75"/>
      <c r="P6" s="75"/>
      <c r="Q6" s="75"/>
      <c r="R6" s="77"/>
    </row>
    <row r="7" spans="1:23" s="3" customFormat="1" ht="21" customHeight="1" x14ac:dyDescent="0.3">
      <c r="A7" s="18">
        <v>4</v>
      </c>
      <c r="B7" s="7">
        <f t="shared" ca="1" si="2"/>
        <v>44850.40138275463</v>
      </c>
      <c r="C7" s="8">
        <f t="shared" ca="1" si="3"/>
        <v>44850.40138275463</v>
      </c>
      <c r="D7" s="6" t="s">
        <v>472</v>
      </c>
      <c r="E7" s="6"/>
      <c r="F7" s="6"/>
      <c r="G7" s="6"/>
      <c r="H7" s="9"/>
      <c r="I7" s="75"/>
      <c r="J7" s="75"/>
      <c r="K7" s="75"/>
      <c r="L7" s="75"/>
      <c r="M7" s="75"/>
      <c r="N7" s="75"/>
      <c r="O7" s="75"/>
      <c r="P7" s="75"/>
      <c r="Q7" s="75"/>
      <c r="R7" s="77"/>
    </row>
    <row r="8" spans="1:23" s="3" customFormat="1" ht="21" customHeight="1" x14ac:dyDescent="0.3">
      <c r="A8" s="18">
        <v>5</v>
      </c>
      <c r="B8" s="7">
        <f t="shared" ca="1" si="2"/>
        <v>44850.401405324075</v>
      </c>
      <c r="C8" s="8">
        <f t="shared" ca="1" si="3"/>
        <v>44850.401405324075</v>
      </c>
      <c r="D8" s="6" t="s">
        <v>473</v>
      </c>
      <c r="E8" s="6"/>
      <c r="F8" s="6"/>
      <c r="G8" s="6"/>
      <c r="H8" s="9"/>
      <c r="I8" s="75"/>
      <c r="J8" s="75"/>
      <c r="K8" s="75"/>
      <c r="L8" s="75"/>
      <c r="M8" s="75"/>
      <c r="N8" s="75"/>
      <c r="O8" s="75"/>
      <c r="P8" s="75"/>
      <c r="Q8" s="75"/>
      <c r="R8" s="77"/>
    </row>
    <row r="9" spans="1:23" s="3" customFormat="1" ht="21" customHeight="1" x14ac:dyDescent="0.3">
      <c r="A9" s="18">
        <v>6</v>
      </c>
      <c r="B9" s="7">
        <f t="shared" ca="1" si="2"/>
        <v>44850.40199849537</v>
      </c>
      <c r="C9" s="8">
        <f t="shared" ca="1" si="3"/>
        <v>44850.40199849537</v>
      </c>
      <c r="D9" s="6" t="s">
        <v>474</v>
      </c>
      <c r="E9" s="6"/>
      <c r="F9" s="6"/>
      <c r="G9" s="6"/>
      <c r="H9" s="9"/>
      <c r="I9" s="75"/>
      <c r="J9" s="75"/>
      <c r="K9" s="75"/>
      <c r="L9" s="75"/>
      <c r="M9" s="75"/>
      <c r="N9" s="75"/>
      <c r="O9" s="75"/>
      <c r="P9" s="75"/>
      <c r="Q9" s="75"/>
      <c r="R9" s="77"/>
    </row>
    <row r="10" spans="1:23" s="3" customFormat="1" ht="21" customHeight="1" x14ac:dyDescent="0.3">
      <c r="A10" s="18">
        <v>7</v>
      </c>
      <c r="B10" s="7">
        <f t="shared" ca="1" si="2"/>
        <v>44850.402314467596</v>
      </c>
      <c r="C10" s="8">
        <f t="shared" ca="1" si="3"/>
        <v>44850.402314467596</v>
      </c>
      <c r="D10" s="6" t="s">
        <v>475</v>
      </c>
      <c r="E10" s="6"/>
      <c r="F10" s="6"/>
      <c r="G10" s="6"/>
      <c r="H10" s="9"/>
      <c r="I10" s="75"/>
      <c r="J10" s="75"/>
      <c r="K10" s="75"/>
      <c r="L10" s="75"/>
      <c r="M10" s="75"/>
      <c r="N10" s="75"/>
      <c r="O10" s="75"/>
      <c r="P10" s="75"/>
      <c r="Q10" s="75"/>
      <c r="R10" s="77"/>
    </row>
    <row r="11" spans="1:23" s="3" customFormat="1" ht="21" customHeight="1" x14ac:dyDescent="0.3">
      <c r="A11" s="18">
        <v>8</v>
      </c>
      <c r="B11" s="7">
        <f t="shared" ca="1" si="2"/>
        <v>44850.40571770833</v>
      </c>
      <c r="C11" s="8">
        <f t="shared" ca="1" si="3"/>
        <v>44850.40571770833</v>
      </c>
      <c r="D11" s="6" t="s">
        <v>476</v>
      </c>
      <c r="E11" s="6"/>
      <c r="F11" s="6"/>
      <c r="G11" s="6"/>
      <c r="H11" s="9"/>
      <c r="I11" s="75"/>
      <c r="J11" s="75"/>
      <c r="K11" s="75"/>
      <c r="L11" s="75"/>
      <c r="M11" s="75"/>
      <c r="N11" s="75"/>
      <c r="O11" s="75"/>
      <c r="P11" s="75"/>
      <c r="Q11" s="75"/>
      <c r="R11" s="77"/>
    </row>
    <row r="12" spans="1:23" s="3" customFormat="1" ht="21" customHeight="1" x14ac:dyDescent="0.3">
      <c r="A12" s="18">
        <v>9</v>
      </c>
      <c r="B12" s="7">
        <f t="shared" ca="1" si="2"/>
        <v>44850.405738310183</v>
      </c>
      <c r="C12" s="8">
        <f t="shared" ca="1" si="3"/>
        <v>44850.405738310183</v>
      </c>
      <c r="D12" s="6" t="s">
        <v>477</v>
      </c>
      <c r="E12" s="6"/>
      <c r="F12" s="6"/>
      <c r="G12" s="6"/>
      <c r="H12" s="9"/>
      <c r="I12" s="75"/>
      <c r="J12" s="75"/>
      <c r="K12" s="75"/>
      <c r="L12" s="75"/>
      <c r="M12" s="75"/>
      <c r="N12" s="75"/>
      <c r="O12" s="75"/>
      <c r="P12" s="75"/>
      <c r="Q12" s="75"/>
      <c r="R12" s="77"/>
    </row>
    <row r="13" spans="1:23" s="3" customFormat="1" ht="21" customHeight="1" x14ac:dyDescent="0.3">
      <c r="A13" s="18">
        <v>10</v>
      </c>
      <c r="B13" s="7">
        <f t="shared" ca="1" si="2"/>
        <v>44850.405840509258</v>
      </c>
      <c r="C13" s="8">
        <f t="shared" ca="1" si="3"/>
        <v>44850.405840509258</v>
      </c>
      <c r="D13" s="6" t="s">
        <v>478</v>
      </c>
      <c r="E13" s="6"/>
      <c r="F13" s="6"/>
      <c r="G13" s="6"/>
      <c r="H13" s="9"/>
      <c r="I13" s="75"/>
      <c r="J13" s="75"/>
      <c r="K13" s="75"/>
      <c r="L13" s="75"/>
      <c r="M13" s="75"/>
      <c r="N13" s="75"/>
      <c r="O13" s="75"/>
      <c r="P13" s="75"/>
      <c r="Q13" s="75"/>
      <c r="R13" s="77"/>
    </row>
    <row r="14" spans="1:23" s="3" customFormat="1" ht="21" customHeight="1" thickBot="1" x14ac:dyDescent="0.35">
      <c r="A14" s="19">
        <v>11</v>
      </c>
      <c r="B14" s="10">
        <f t="shared" ca="1" si="2"/>
        <v>44850.406363425929</v>
      </c>
      <c r="C14" s="11">
        <f t="shared" ca="1" si="3"/>
        <v>44850.406363425929</v>
      </c>
      <c r="D14" s="12" t="s">
        <v>479</v>
      </c>
      <c r="E14" s="12"/>
      <c r="F14" s="12"/>
      <c r="G14" s="12"/>
      <c r="H14" s="9"/>
      <c r="I14" s="76"/>
      <c r="J14" s="76"/>
      <c r="K14" s="76"/>
      <c r="L14" s="76"/>
      <c r="M14" s="76"/>
      <c r="N14" s="76"/>
      <c r="O14" s="76"/>
      <c r="P14" s="76"/>
      <c r="Q14" s="76"/>
      <c r="R14" s="78"/>
    </row>
    <row r="15" spans="1:23" x14ac:dyDescent="0.3">
      <c r="B15" s="1" t="str">
        <f t="shared" ca="1" si="2"/>
        <v/>
      </c>
      <c r="C15" s="2" t="str">
        <f t="shared" ca="1" si="3"/>
        <v/>
      </c>
    </row>
    <row r="16" spans="1:23" x14ac:dyDescent="0.3">
      <c r="B16" s="1" t="str">
        <f t="shared" ca="1" si="2"/>
        <v/>
      </c>
      <c r="C16" s="2" t="str">
        <f t="shared" ca="1" si="3"/>
        <v/>
      </c>
    </row>
    <row r="17" spans="2:3" x14ac:dyDescent="0.3">
      <c r="B17" s="1" t="str">
        <f t="shared" ca="1" si="2"/>
        <v/>
      </c>
      <c r="C17" s="2" t="str">
        <f t="shared" ca="1" si="3"/>
        <v/>
      </c>
    </row>
    <row r="18" spans="2:3" x14ac:dyDescent="0.3">
      <c r="B18" s="1" t="str">
        <f t="shared" ca="1" si="2"/>
        <v/>
      </c>
      <c r="C18" s="2" t="str">
        <f t="shared" ca="1" si="3"/>
        <v/>
      </c>
    </row>
    <row r="19" spans="2:3" x14ac:dyDescent="0.3">
      <c r="B19" s="1" t="str">
        <f t="shared" ca="1" si="2"/>
        <v/>
      </c>
      <c r="C19" s="2" t="str">
        <f t="shared" ca="1" si="3"/>
        <v/>
      </c>
    </row>
    <row r="20" spans="2:3" x14ac:dyDescent="0.3">
      <c r="B20" s="1" t="str">
        <f t="shared" ca="1" si="2"/>
        <v/>
      </c>
      <c r="C20" s="2" t="str">
        <f t="shared" ca="1" si="3"/>
        <v/>
      </c>
    </row>
    <row r="21" spans="2:3" x14ac:dyDescent="0.3">
      <c r="B21" s="1" t="str">
        <f t="shared" ca="1" si="2"/>
        <v/>
      </c>
      <c r="C21" s="2" t="str">
        <f t="shared" ca="1" si="3"/>
        <v/>
      </c>
    </row>
    <row r="22" spans="2:3" x14ac:dyDescent="0.3">
      <c r="B22" s="1" t="str">
        <f t="shared" ca="1" si="2"/>
        <v/>
      </c>
      <c r="C22" s="2" t="str">
        <f t="shared" ca="1" si="3"/>
        <v/>
      </c>
    </row>
    <row r="23" spans="2:3" x14ac:dyDescent="0.3">
      <c r="B23" s="1" t="str">
        <f t="shared" ca="1" si="2"/>
        <v/>
      </c>
      <c r="C23" s="2" t="str">
        <f t="shared" ca="1" si="3"/>
        <v/>
      </c>
    </row>
    <row r="24" spans="2:3" x14ac:dyDescent="0.3">
      <c r="B24" s="1" t="str">
        <f t="shared" ca="1" si="2"/>
        <v/>
      </c>
      <c r="C24" s="2" t="str">
        <f t="shared" ca="1" si="3"/>
        <v/>
      </c>
    </row>
    <row r="25" spans="2:3" x14ac:dyDescent="0.3">
      <c r="B25" s="1" t="str">
        <f t="shared" ca="1" si="2"/>
        <v/>
      </c>
      <c r="C25" s="2" t="str">
        <f t="shared" ca="1" si="3"/>
        <v/>
      </c>
    </row>
    <row r="26" spans="2:3" x14ac:dyDescent="0.3">
      <c r="B26" s="1" t="str">
        <f t="shared" ca="1" si="2"/>
        <v/>
      </c>
      <c r="C26" s="2" t="str">
        <f t="shared" ca="1" si="3"/>
        <v/>
      </c>
    </row>
    <row r="27" spans="2:3" x14ac:dyDescent="0.3">
      <c r="B27" s="1" t="str">
        <f t="shared" ca="1" si="2"/>
        <v/>
      </c>
      <c r="C27" s="2" t="str">
        <f t="shared" ca="1" si="3"/>
        <v/>
      </c>
    </row>
    <row r="28" spans="2:3" x14ac:dyDescent="0.3">
      <c r="B28" s="1" t="str">
        <f t="shared" ca="1" si="2"/>
        <v/>
      </c>
      <c r="C28" s="2" t="str">
        <f t="shared" ca="1" si="3"/>
        <v/>
      </c>
    </row>
    <row r="29" spans="2:3" x14ac:dyDescent="0.3">
      <c r="B29" s="1" t="str">
        <f t="shared" ca="1" si="2"/>
        <v/>
      </c>
      <c r="C29" s="2" t="str">
        <f t="shared" ca="1" si="3"/>
        <v/>
      </c>
    </row>
    <row r="30" spans="2:3" x14ac:dyDescent="0.3">
      <c r="B30" s="1" t="str">
        <f t="shared" ca="1" si="2"/>
        <v/>
      </c>
      <c r="C30" s="2" t="str">
        <f t="shared" ca="1" si="3"/>
        <v/>
      </c>
    </row>
    <row r="31" spans="2:3" x14ac:dyDescent="0.3">
      <c r="B31" s="1" t="str">
        <f t="shared" ca="1" si="2"/>
        <v/>
      </c>
      <c r="C31" s="2" t="str">
        <f t="shared" ca="1" si="3"/>
        <v/>
      </c>
    </row>
    <row r="32" spans="2:3" x14ac:dyDescent="0.3">
      <c r="B32" s="1" t="str">
        <f t="shared" ca="1" si="2"/>
        <v/>
      </c>
      <c r="C32" s="2" t="str">
        <f t="shared" ca="1" si="3"/>
        <v/>
      </c>
    </row>
    <row r="33" spans="2:3" x14ac:dyDescent="0.3">
      <c r="B33" s="1" t="str">
        <f t="shared" ca="1" si="2"/>
        <v/>
      </c>
      <c r="C33" s="2" t="str">
        <f t="shared" ca="1" si="3"/>
        <v/>
      </c>
    </row>
    <row r="34" spans="2:3" x14ac:dyDescent="0.3">
      <c r="B34" s="1" t="str">
        <f t="shared" ca="1" si="2"/>
        <v/>
      </c>
      <c r="C34" s="2" t="str">
        <f t="shared" ca="1" si="3"/>
        <v/>
      </c>
    </row>
    <row r="35" spans="2:3" x14ac:dyDescent="0.3">
      <c r="B35" s="1" t="str">
        <f t="shared" ca="1" si="2"/>
        <v/>
      </c>
      <c r="C35" s="2" t="str">
        <f t="shared" ca="1" si="3"/>
        <v/>
      </c>
    </row>
    <row r="36" spans="2:3" x14ac:dyDescent="0.3">
      <c r="B36" s="1" t="str">
        <f t="shared" ca="1" si="2"/>
        <v/>
      </c>
      <c r="C36" s="2" t="str">
        <f t="shared" ca="1" si="3"/>
        <v/>
      </c>
    </row>
    <row r="37" spans="2:3" x14ac:dyDescent="0.3">
      <c r="B37" s="1" t="str">
        <f t="shared" ca="1" si="2"/>
        <v/>
      </c>
      <c r="C37" s="2" t="str">
        <f t="shared" ca="1" si="3"/>
        <v/>
      </c>
    </row>
    <row r="38" spans="2:3" x14ac:dyDescent="0.3">
      <c r="B38" s="1" t="str">
        <f t="shared" ca="1" si="2"/>
        <v/>
      </c>
      <c r="C38" s="2" t="str">
        <f t="shared" ca="1" si="3"/>
        <v/>
      </c>
    </row>
    <row r="39" spans="2:3" x14ac:dyDescent="0.3">
      <c r="B39" s="1" t="str">
        <f t="shared" ca="1" si="2"/>
        <v/>
      </c>
      <c r="C39" s="2" t="str">
        <f t="shared" ca="1" si="3"/>
        <v/>
      </c>
    </row>
    <row r="40" spans="2:3" x14ac:dyDescent="0.3">
      <c r="B40" s="1" t="str">
        <f t="shared" ca="1" si="2"/>
        <v/>
      </c>
      <c r="C40" s="2" t="str">
        <f t="shared" ca="1" si="3"/>
        <v/>
      </c>
    </row>
    <row r="41" spans="2:3" x14ac:dyDescent="0.3">
      <c r="B41" s="1" t="str">
        <f t="shared" ca="1" si="2"/>
        <v/>
      </c>
      <c r="C41" s="2" t="str">
        <f t="shared" ca="1" si="3"/>
        <v/>
      </c>
    </row>
    <row r="42" spans="2:3" x14ac:dyDescent="0.3">
      <c r="B42" s="1" t="str">
        <f t="shared" ca="1" si="2"/>
        <v/>
      </c>
      <c r="C42" s="2" t="str">
        <f t="shared" ca="1" si="3"/>
        <v/>
      </c>
    </row>
    <row r="43" spans="2:3" x14ac:dyDescent="0.3">
      <c r="B43" s="1" t="str">
        <f t="shared" ca="1" si="2"/>
        <v/>
      </c>
      <c r="C43" s="2" t="str">
        <f t="shared" ca="1" si="3"/>
        <v/>
      </c>
    </row>
    <row r="44" spans="2:3" x14ac:dyDescent="0.3">
      <c r="B44" s="1" t="str">
        <f t="shared" ca="1" si="2"/>
        <v/>
      </c>
      <c r="C44" s="2" t="str">
        <f t="shared" ca="1" si="3"/>
        <v/>
      </c>
    </row>
    <row r="45" spans="2:3" x14ac:dyDescent="0.3">
      <c r="B45" s="1" t="str">
        <f t="shared" ca="1" si="2"/>
        <v/>
      </c>
      <c r="C45" s="2" t="str">
        <f t="shared" ca="1" si="3"/>
        <v/>
      </c>
    </row>
    <row r="46" spans="2:3" x14ac:dyDescent="0.3">
      <c r="B46" s="1" t="str">
        <f t="shared" ca="1" si="2"/>
        <v/>
      </c>
      <c r="C46" s="2" t="str">
        <f t="shared" ca="1" si="3"/>
        <v/>
      </c>
    </row>
    <row r="47" spans="2:3" x14ac:dyDescent="0.3">
      <c r="B47" s="1" t="str">
        <f t="shared" ca="1" si="2"/>
        <v/>
      </c>
      <c r="C47" s="2" t="str">
        <f t="shared" ca="1" si="3"/>
        <v/>
      </c>
    </row>
    <row r="48" spans="2:3" x14ac:dyDescent="0.3">
      <c r="B48" s="1" t="str">
        <f t="shared" ca="1" si="2"/>
        <v/>
      </c>
      <c r="C48" s="2" t="str">
        <f t="shared" ca="1" si="3"/>
        <v/>
      </c>
    </row>
    <row r="49" spans="2:3" x14ac:dyDescent="0.3">
      <c r="B49" s="1" t="str">
        <f t="shared" ca="1" si="2"/>
        <v/>
      </c>
      <c r="C49" s="2" t="str">
        <f t="shared" ca="1" si="3"/>
        <v/>
      </c>
    </row>
    <row r="50" spans="2:3" x14ac:dyDescent="0.3">
      <c r="B50" s="1" t="str">
        <f t="shared" ca="1" si="2"/>
        <v/>
      </c>
      <c r="C50" s="2" t="str">
        <f t="shared" ca="1" si="3"/>
        <v/>
      </c>
    </row>
    <row r="51" spans="2:3" x14ac:dyDescent="0.3">
      <c r="B51" s="1" t="str">
        <f t="shared" ca="1" si="2"/>
        <v/>
      </c>
      <c r="C51" s="2" t="str">
        <f t="shared" ca="1" si="3"/>
        <v/>
      </c>
    </row>
    <row r="52" spans="2:3" x14ac:dyDescent="0.3">
      <c r="B52" s="1" t="str">
        <f t="shared" ca="1" si="2"/>
        <v/>
      </c>
      <c r="C52" s="2" t="str">
        <f t="shared" ca="1" si="3"/>
        <v/>
      </c>
    </row>
    <row r="53" spans="2:3" x14ac:dyDescent="0.3">
      <c r="B53" s="1" t="str">
        <f t="shared" ca="1" si="2"/>
        <v/>
      </c>
      <c r="C53" s="2" t="str">
        <f t="shared" ca="1" si="3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4">IF(D56 &lt;&gt;"", IF(C56 ="", NOW(), C56), "")</f>
        <v/>
      </c>
      <c r="C56" s="2" t="str">
        <f t="shared" ref="C56:C101" ca="1" si="5">IF(D56 &lt;&gt;"", IF(C56 ="", NOW(), C56), "")</f>
        <v/>
      </c>
    </row>
    <row r="57" spans="2:3" x14ac:dyDescent="0.3">
      <c r="B57" s="1" t="str">
        <f t="shared" ca="1" si="4"/>
        <v/>
      </c>
      <c r="C57" s="2" t="str">
        <f t="shared" ca="1" si="5"/>
        <v/>
      </c>
    </row>
    <row r="58" spans="2:3" x14ac:dyDescent="0.3">
      <c r="B58" s="1" t="str">
        <f t="shared" ca="1" si="4"/>
        <v/>
      </c>
      <c r="C58" s="2" t="str">
        <f t="shared" ca="1" si="5"/>
        <v/>
      </c>
    </row>
    <row r="59" spans="2:3" x14ac:dyDescent="0.3">
      <c r="B59" s="1" t="str">
        <f t="shared" ca="1" si="4"/>
        <v/>
      </c>
      <c r="C59" s="2" t="str">
        <f t="shared" ca="1" si="5"/>
        <v/>
      </c>
    </row>
    <row r="60" spans="2:3" x14ac:dyDescent="0.3">
      <c r="B60" s="1" t="str">
        <f t="shared" ca="1" si="4"/>
        <v/>
      </c>
      <c r="C60" s="2" t="str">
        <f t="shared" ca="1" si="5"/>
        <v/>
      </c>
    </row>
    <row r="61" spans="2:3" x14ac:dyDescent="0.3">
      <c r="B61" s="1" t="str">
        <f t="shared" ca="1" si="4"/>
        <v/>
      </c>
      <c r="C61" s="2" t="str">
        <f t="shared" ca="1" si="5"/>
        <v/>
      </c>
    </row>
    <row r="62" spans="2:3" x14ac:dyDescent="0.3">
      <c r="B62" s="1" t="str">
        <f t="shared" ca="1" si="4"/>
        <v/>
      </c>
      <c r="C62" s="2" t="str">
        <f t="shared" ca="1" si="5"/>
        <v/>
      </c>
    </row>
    <row r="63" spans="2:3" x14ac:dyDescent="0.3">
      <c r="B63" s="1" t="str">
        <f t="shared" ca="1" si="4"/>
        <v/>
      </c>
      <c r="C63" s="2" t="str">
        <f t="shared" ca="1" si="5"/>
        <v/>
      </c>
    </row>
    <row r="64" spans="2:3" x14ac:dyDescent="0.3">
      <c r="B64" s="1" t="str">
        <f t="shared" ca="1" si="4"/>
        <v/>
      </c>
      <c r="C64" s="2" t="str">
        <f t="shared" ca="1" si="5"/>
        <v/>
      </c>
    </row>
    <row r="65" spans="2:3" x14ac:dyDescent="0.3">
      <c r="B65" s="1" t="str">
        <f t="shared" ca="1" si="4"/>
        <v/>
      </c>
      <c r="C65" s="2" t="str">
        <f t="shared" ca="1" si="5"/>
        <v/>
      </c>
    </row>
    <row r="66" spans="2:3" x14ac:dyDescent="0.3">
      <c r="B66" s="1" t="str">
        <f t="shared" ca="1" si="4"/>
        <v/>
      </c>
      <c r="C66" s="2" t="str">
        <f t="shared" ca="1" si="5"/>
        <v/>
      </c>
    </row>
    <row r="67" spans="2:3" x14ac:dyDescent="0.3">
      <c r="B67" s="1" t="str">
        <f t="shared" ca="1" si="4"/>
        <v/>
      </c>
      <c r="C67" s="2" t="str">
        <f t="shared" ca="1" si="5"/>
        <v/>
      </c>
    </row>
    <row r="68" spans="2:3" x14ac:dyDescent="0.3">
      <c r="B68" s="1" t="str">
        <f t="shared" ca="1" si="4"/>
        <v/>
      </c>
      <c r="C68" s="2" t="str">
        <f t="shared" ca="1" si="5"/>
        <v/>
      </c>
    </row>
    <row r="69" spans="2:3" x14ac:dyDescent="0.3">
      <c r="B69" s="1" t="str">
        <f t="shared" ca="1" si="4"/>
        <v/>
      </c>
      <c r="C69" s="2" t="str">
        <f t="shared" ca="1" si="5"/>
        <v/>
      </c>
    </row>
    <row r="70" spans="2:3" x14ac:dyDescent="0.3">
      <c r="B70" s="1" t="str">
        <f t="shared" ca="1" si="4"/>
        <v/>
      </c>
      <c r="C70" s="2" t="str">
        <f t="shared" ca="1" si="5"/>
        <v/>
      </c>
    </row>
    <row r="71" spans="2:3" x14ac:dyDescent="0.3">
      <c r="B71" s="1" t="str">
        <f t="shared" ca="1" si="4"/>
        <v/>
      </c>
      <c r="C71" s="2" t="str">
        <f t="shared" ca="1" si="5"/>
        <v/>
      </c>
    </row>
    <row r="72" spans="2:3" x14ac:dyDescent="0.3">
      <c r="B72" s="1" t="str">
        <f t="shared" ca="1" si="4"/>
        <v/>
      </c>
      <c r="C72" s="2" t="str">
        <f t="shared" ca="1" si="5"/>
        <v/>
      </c>
    </row>
    <row r="73" spans="2:3" x14ac:dyDescent="0.3">
      <c r="B73" s="1" t="str">
        <f t="shared" ca="1" si="4"/>
        <v/>
      </c>
      <c r="C73" s="2" t="str">
        <f t="shared" ca="1" si="5"/>
        <v/>
      </c>
    </row>
    <row r="74" spans="2:3" x14ac:dyDescent="0.3">
      <c r="B74" s="1" t="str">
        <f t="shared" ca="1" si="4"/>
        <v/>
      </c>
      <c r="C74" s="2" t="str">
        <f t="shared" ca="1" si="5"/>
        <v/>
      </c>
    </row>
    <row r="75" spans="2:3" x14ac:dyDescent="0.3">
      <c r="B75" s="1" t="str">
        <f t="shared" ca="1" si="4"/>
        <v/>
      </c>
      <c r="C75" s="2" t="str">
        <f t="shared" ca="1" si="5"/>
        <v/>
      </c>
    </row>
    <row r="76" spans="2:3" x14ac:dyDescent="0.3">
      <c r="B76" s="1" t="str">
        <f t="shared" ca="1" si="4"/>
        <v/>
      </c>
      <c r="C76" s="2" t="str">
        <f t="shared" ca="1" si="5"/>
        <v/>
      </c>
    </row>
    <row r="77" spans="2:3" x14ac:dyDescent="0.3">
      <c r="B77" s="1" t="str">
        <f t="shared" ca="1" si="4"/>
        <v/>
      </c>
      <c r="C77" s="2" t="str">
        <f t="shared" ca="1" si="5"/>
        <v/>
      </c>
    </row>
    <row r="78" spans="2:3" x14ac:dyDescent="0.3">
      <c r="B78" s="1" t="str">
        <f t="shared" ca="1" si="4"/>
        <v/>
      </c>
      <c r="C78" s="2" t="str">
        <f t="shared" ca="1" si="5"/>
        <v/>
      </c>
    </row>
    <row r="79" spans="2:3" x14ac:dyDescent="0.3">
      <c r="B79" s="1" t="str">
        <f t="shared" ca="1" si="4"/>
        <v/>
      </c>
      <c r="C79" s="2" t="str">
        <f t="shared" ca="1" si="5"/>
        <v/>
      </c>
    </row>
    <row r="80" spans="2:3" x14ac:dyDescent="0.3">
      <c r="B80" s="1" t="str">
        <f t="shared" ca="1" si="4"/>
        <v/>
      </c>
      <c r="C80" s="2" t="str">
        <f t="shared" ca="1" si="5"/>
        <v/>
      </c>
    </row>
    <row r="81" spans="2:3" x14ac:dyDescent="0.3">
      <c r="B81" s="1" t="str">
        <f t="shared" ca="1" si="4"/>
        <v/>
      </c>
      <c r="C81" s="2" t="str">
        <f t="shared" ca="1" si="5"/>
        <v/>
      </c>
    </row>
    <row r="82" spans="2:3" x14ac:dyDescent="0.3">
      <c r="B82" s="1" t="str">
        <f t="shared" ca="1" si="4"/>
        <v/>
      </c>
      <c r="C82" s="2" t="str">
        <f t="shared" ca="1" si="5"/>
        <v/>
      </c>
    </row>
    <row r="83" spans="2:3" x14ac:dyDescent="0.3">
      <c r="B83" s="1" t="str">
        <f t="shared" ca="1" si="4"/>
        <v/>
      </c>
      <c r="C83" s="2" t="str">
        <f t="shared" ca="1" si="5"/>
        <v/>
      </c>
    </row>
    <row r="84" spans="2:3" x14ac:dyDescent="0.3">
      <c r="B84" s="1" t="str">
        <f t="shared" ca="1" si="4"/>
        <v/>
      </c>
      <c r="C84" s="2" t="str">
        <f t="shared" ca="1" si="5"/>
        <v/>
      </c>
    </row>
    <row r="85" spans="2:3" x14ac:dyDescent="0.3">
      <c r="B85" s="1" t="str">
        <f t="shared" ca="1" si="4"/>
        <v/>
      </c>
      <c r="C85" s="2" t="str">
        <f t="shared" ca="1" si="5"/>
        <v/>
      </c>
    </row>
    <row r="86" spans="2:3" x14ac:dyDescent="0.3">
      <c r="B86" s="1" t="str">
        <f t="shared" ca="1" si="4"/>
        <v/>
      </c>
      <c r="C86" s="2" t="str">
        <f t="shared" ca="1" si="5"/>
        <v/>
      </c>
    </row>
    <row r="87" spans="2:3" x14ac:dyDescent="0.3">
      <c r="B87" s="1" t="str">
        <f t="shared" ca="1" si="4"/>
        <v/>
      </c>
      <c r="C87" s="2" t="str">
        <f t="shared" ca="1" si="5"/>
        <v/>
      </c>
    </row>
    <row r="88" spans="2:3" x14ac:dyDescent="0.3">
      <c r="B88" s="1" t="str">
        <f t="shared" ca="1" si="4"/>
        <v/>
      </c>
      <c r="C88" s="2" t="str">
        <f t="shared" ca="1" si="5"/>
        <v/>
      </c>
    </row>
    <row r="89" spans="2:3" x14ac:dyDescent="0.3">
      <c r="B89" s="1" t="str">
        <f t="shared" ca="1" si="4"/>
        <v/>
      </c>
      <c r="C89" s="2" t="str">
        <f t="shared" ca="1" si="5"/>
        <v/>
      </c>
    </row>
    <row r="90" spans="2:3" x14ac:dyDescent="0.3">
      <c r="B90" s="1" t="str">
        <f t="shared" ca="1" si="4"/>
        <v/>
      </c>
      <c r="C90" s="2" t="str">
        <f t="shared" ca="1" si="5"/>
        <v/>
      </c>
    </row>
    <row r="91" spans="2:3" x14ac:dyDescent="0.3">
      <c r="B91" s="1" t="str">
        <f t="shared" ca="1" si="4"/>
        <v/>
      </c>
      <c r="C91" s="2" t="str">
        <f t="shared" ca="1" si="5"/>
        <v/>
      </c>
    </row>
    <row r="92" spans="2:3" x14ac:dyDescent="0.3">
      <c r="B92" s="1" t="str">
        <f t="shared" ca="1" si="4"/>
        <v/>
      </c>
      <c r="C92" s="2" t="str">
        <f t="shared" ca="1" si="5"/>
        <v/>
      </c>
    </row>
    <row r="93" spans="2:3" x14ac:dyDescent="0.3">
      <c r="B93" s="1" t="str">
        <f t="shared" ca="1" si="4"/>
        <v/>
      </c>
      <c r="C93" s="2" t="str">
        <f t="shared" ca="1" si="5"/>
        <v/>
      </c>
    </row>
    <row r="94" spans="2:3" x14ac:dyDescent="0.3">
      <c r="B94" s="1" t="str">
        <f t="shared" ca="1" si="4"/>
        <v/>
      </c>
      <c r="C94" s="2" t="str">
        <f t="shared" ca="1" si="5"/>
        <v/>
      </c>
    </row>
    <row r="95" spans="2:3" x14ac:dyDescent="0.3">
      <c r="B95" s="1" t="str">
        <f t="shared" ca="1" si="4"/>
        <v/>
      </c>
      <c r="C95" s="2" t="str">
        <f t="shared" ca="1" si="5"/>
        <v/>
      </c>
    </row>
    <row r="96" spans="2:3" x14ac:dyDescent="0.3">
      <c r="B96" s="1" t="str">
        <f t="shared" ca="1" si="4"/>
        <v/>
      </c>
      <c r="C96" s="2" t="str">
        <f t="shared" ca="1" si="5"/>
        <v/>
      </c>
    </row>
    <row r="97" spans="2:3" x14ac:dyDescent="0.3">
      <c r="B97" s="1" t="str">
        <f t="shared" ca="1" si="4"/>
        <v/>
      </c>
      <c r="C97" s="2" t="str">
        <f t="shared" ca="1" si="5"/>
        <v/>
      </c>
    </row>
    <row r="98" spans="2:3" x14ac:dyDescent="0.3">
      <c r="B98" s="1" t="str">
        <f t="shared" ca="1" si="4"/>
        <v/>
      </c>
      <c r="C98" s="2" t="str">
        <f t="shared" ca="1" si="5"/>
        <v/>
      </c>
    </row>
    <row r="99" spans="2:3" x14ac:dyDescent="0.3">
      <c r="B99" s="1" t="str">
        <f t="shared" ca="1" si="4"/>
        <v/>
      </c>
      <c r="C99" s="2" t="str">
        <f t="shared" ca="1" si="5"/>
        <v/>
      </c>
    </row>
    <row r="100" spans="2:3" x14ac:dyDescent="0.3">
      <c r="B100" s="1" t="str">
        <f t="shared" ca="1" si="4"/>
        <v/>
      </c>
      <c r="C100" s="2" t="str">
        <f t="shared" ca="1" si="5"/>
        <v/>
      </c>
    </row>
    <row r="101" spans="2:3" x14ac:dyDescent="0.3">
      <c r="B101" s="1" t="str">
        <f t="shared" ca="1" si="4"/>
        <v/>
      </c>
      <c r="C101" s="2" t="str">
        <f t="shared" ca="1" si="5"/>
        <v/>
      </c>
    </row>
  </sheetData>
  <mergeCells count="27">
    <mergeCell ref="I14:M14"/>
    <mergeCell ref="N4:R4"/>
    <mergeCell ref="N5:R5"/>
    <mergeCell ref="N6:R6"/>
    <mergeCell ref="N7:R7"/>
    <mergeCell ref="N8:R8"/>
    <mergeCell ref="N9:R9"/>
    <mergeCell ref="N10:R10"/>
    <mergeCell ref="N11:R11"/>
    <mergeCell ref="N12:R12"/>
    <mergeCell ref="N13:R13"/>
    <mergeCell ref="N14:R14"/>
    <mergeCell ref="I9:M9"/>
    <mergeCell ref="I10:M10"/>
    <mergeCell ref="I11:M11"/>
    <mergeCell ref="I12:M12"/>
    <mergeCell ref="I13:M13"/>
    <mergeCell ref="I4:M4"/>
    <mergeCell ref="I5:M5"/>
    <mergeCell ref="I6:M6"/>
    <mergeCell ref="I7:M7"/>
    <mergeCell ref="I8:M8"/>
    <mergeCell ref="A1:I2"/>
    <mergeCell ref="J1:J2"/>
    <mergeCell ref="K1:M2"/>
    <mergeCell ref="N1:R3"/>
    <mergeCell ref="I3:M3"/>
  </mergeCells>
  <conditionalFormatting sqref="D4:D37 D39:D1048576">
    <cfRule type="duplicateValues" dxfId="95" priority="8"/>
  </conditionalFormatting>
  <conditionalFormatting sqref="D4:D1048576">
    <cfRule type="duplicateValues" dxfId="94" priority="7"/>
  </conditionalFormatting>
  <conditionalFormatting sqref="J1">
    <cfRule type="duplicateValues" dxfId="93" priority="6"/>
  </conditionalFormatting>
  <conditionalFormatting sqref="J1">
    <cfRule type="duplicateValues" dxfId="92" priority="5"/>
  </conditionalFormatting>
  <conditionalFormatting sqref="K1">
    <cfRule type="duplicateValues" dxfId="91" priority="4"/>
  </conditionalFormatting>
  <conditionalFormatting sqref="K1:M2">
    <cfRule type="duplicateValues" dxfId="90" priority="3"/>
  </conditionalFormatting>
  <conditionalFormatting sqref="K1:M2">
    <cfRule type="duplicateValues" dxfId="89" priority="2"/>
  </conditionalFormatting>
  <conditionalFormatting sqref="D4:D14 K1:M2">
    <cfRule type="duplicateValues" dxfId="88" priority="1"/>
  </conditionalFormatting>
  <dataValidations count="1">
    <dataValidation type="list" allowBlank="1" showInputMessage="1" showErrorMessage="1" sqref="H4:H14" xr:uid="{8823165D-E5DB-4829-9BA6-CAAC6E45A8A9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1"/>
  <sheetViews>
    <sheetView workbookViewId="0">
      <selection activeCell="D4" sqref="D4:D8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21" customHeight="1" x14ac:dyDescent="0.3">
      <c r="A4" s="18">
        <v>1</v>
      </c>
      <c r="B4" s="7">
        <f ca="1">IF(D4 &lt;&gt;"", IF(C4 ="", NOW(), C4), "")</f>
        <v>44850.408923842595</v>
      </c>
      <c r="C4" s="8">
        <f ca="1">IF(D4 &lt;&gt;"", IF(C4 ="", NOW(), C4), "")</f>
        <v>44850.408923842595</v>
      </c>
      <c r="D4" s="6" t="s">
        <v>480</v>
      </c>
      <c r="E4" s="7">
        <v>44854</v>
      </c>
      <c r="F4" s="7">
        <f t="shared" ref="F4" si="0">EDATE(E4,3)-0</f>
        <v>44946</v>
      </c>
      <c r="G4" s="9">
        <f t="shared" ref="G4" ca="1" si="1">E4-TODAY()</f>
        <v>-741</v>
      </c>
      <c r="H4" s="9"/>
      <c r="I4" s="75"/>
      <c r="J4" s="75"/>
      <c r="K4" s="75"/>
      <c r="L4" s="75"/>
      <c r="M4" s="75"/>
      <c r="N4" s="75"/>
      <c r="O4" s="75"/>
      <c r="P4" s="75"/>
      <c r="Q4" s="75"/>
      <c r="R4" s="77"/>
    </row>
    <row r="5" spans="1:23" ht="21" customHeight="1" x14ac:dyDescent="0.3">
      <c r="A5" s="18">
        <v>2</v>
      </c>
      <c r="B5" s="7">
        <f t="shared" ref="B5:B53" ca="1" si="2">IF(D5 &lt;&gt;"", IF(C5 ="", NOW(), C5), "")</f>
        <v>44850.40909479167</v>
      </c>
      <c r="C5" s="8">
        <f t="shared" ref="C5:C53" ca="1" si="3">IF(D5 &lt;&gt;"", IF(C5 ="", NOW(), C5), "")</f>
        <v>44850.40909479167</v>
      </c>
      <c r="D5" s="6" t="s">
        <v>481</v>
      </c>
      <c r="E5" s="6"/>
      <c r="F5" s="6"/>
      <c r="G5" s="6"/>
      <c r="H5" s="9"/>
      <c r="I5" s="75"/>
      <c r="J5" s="75"/>
      <c r="K5" s="75"/>
      <c r="L5" s="75"/>
      <c r="M5" s="75"/>
      <c r="N5" s="75"/>
      <c r="O5" s="75"/>
      <c r="P5" s="75"/>
      <c r="Q5" s="75"/>
      <c r="R5" s="77"/>
    </row>
    <row r="6" spans="1:23" ht="21" customHeight="1" x14ac:dyDescent="0.3">
      <c r="A6" s="18">
        <v>3</v>
      </c>
      <c r="B6" s="7">
        <f t="shared" ca="1" si="2"/>
        <v>44850.409737731483</v>
      </c>
      <c r="C6" s="8">
        <f t="shared" ca="1" si="3"/>
        <v>44850.409737731483</v>
      </c>
      <c r="D6" s="6" t="s">
        <v>482</v>
      </c>
      <c r="E6" s="6"/>
      <c r="F6" s="6"/>
      <c r="G6" s="6"/>
      <c r="H6" s="9"/>
      <c r="I6" s="75"/>
      <c r="J6" s="75"/>
      <c r="K6" s="75"/>
      <c r="L6" s="75"/>
      <c r="M6" s="75"/>
      <c r="N6" s="75"/>
      <c r="O6" s="75"/>
      <c r="P6" s="75"/>
      <c r="Q6" s="75"/>
      <c r="R6" s="77"/>
    </row>
    <row r="7" spans="1:23" ht="21" customHeight="1" x14ac:dyDescent="0.3">
      <c r="A7" s="18">
        <v>4</v>
      </c>
      <c r="B7" s="7">
        <f t="shared" ca="1" si="2"/>
        <v>44850.409957291668</v>
      </c>
      <c r="C7" s="8">
        <f t="shared" ca="1" si="3"/>
        <v>44850.409957291668</v>
      </c>
      <c r="D7" s="6" t="s">
        <v>483</v>
      </c>
      <c r="E7" s="6"/>
      <c r="F7" s="6"/>
      <c r="G7" s="6"/>
      <c r="H7" s="9"/>
      <c r="I7" s="75"/>
      <c r="J7" s="75"/>
      <c r="K7" s="75"/>
      <c r="L7" s="75"/>
      <c r="M7" s="75"/>
      <c r="N7" s="75"/>
      <c r="O7" s="75"/>
      <c r="P7" s="75"/>
      <c r="Q7" s="75"/>
      <c r="R7" s="77"/>
    </row>
    <row r="8" spans="1:23" ht="21" customHeight="1" thickBot="1" x14ac:dyDescent="0.35">
      <c r="A8" s="19">
        <v>5</v>
      </c>
      <c r="B8" s="10">
        <f t="shared" ca="1" si="2"/>
        <v>44850.409993171299</v>
      </c>
      <c r="C8" s="11">
        <f t="shared" ca="1" si="3"/>
        <v>44850.409993171299</v>
      </c>
      <c r="D8" s="12" t="s">
        <v>484</v>
      </c>
      <c r="E8" s="12"/>
      <c r="F8" s="12"/>
      <c r="G8" s="12"/>
      <c r="H8" s="9"/>
      <c r="I8" s="76"/>
      <c r="J8" s="76"/>
      <c r="K8" s="76"/>
      <c r="L8" s="76"/>
      <c r="M8" s="76"/>
      <c r="N8" s="76"/>
      <c r="O8" s="76"/>
      <c r="P8" s="76"/>
      <c r="Q8" s="76"/>
      <c r="R8" s="78"/>
    </row>
    <row r="9" spans="1:23" x14ac:dyDescent="0.3">
      <c r="B9" s="1" t="str">
        <f t="shared" ca="1" si="2"/>
        <v/>
      </c>
      <c r="C9" s="2" t="str">
        <f t="shared" ca="1" si="3"/>
        <v/>
      </c>
    </row>
    <row r="10" spans="1:23" x14ac:dyDescent="0.3">
      <c r="B10" s="1" t="str">
        <f t="shared" ca="1" si="2"/>
        <v/>
      </c>
      <c r="C10" s="2" t="str">
        <f t="shared" ca="1" si="3"/>
        <v/>
      </c>
    </row>
    <row r="11" spans="1:23" x14ac:dyDescent="0.3">
      <c r="B11" s="1" t="str">
        <f t="shared" ca="1" si="2"/>
        <v/>
      </c>
      <c r="C11" s="2" t="str">
        <f t="shared" ca="1" si="3"/>
        <v/>
      </c>
    </row>
    <row r="12" spans="1:23" x14ac:dyDescent="0.3">
      <c r="B12" s="1" t="str">
        <f t="shared" ca="1" si="2"/>
        <v/>
      </c>
      <c r="C12" s="2" t="str">
        <f t="shared" ca="1" si="3"/>
        <v/>
      </c>
    </row>
    <row r="13" spans="1:23" x14ac:dyDescent="0.3">
      <c r="B13" s="1" t="str">
        <f t="shared" ca="1" si="2"/>
        <v/>
      </c>
      <c r="C13" s="2" t="str">
        <f t="shared" ca="1" si="3"/>
        <v/>
      </c>
    </row>
    <row r="14" spans="1:23" x14ac:dyDescent="0.3">
      <c r="B14" s="1" t="str">
        <f t="shared" ca="1" si="2"/>
        <v/>
      </c>
      <c r="C14" s="2" t="str">
        <f t="shared" ca="1" si="3"/>
        <v/>
      </c>
    </row>
    <row r="15" spans="1:23" x14ac:dyDescent="0.3">
      <c r="B15" s="1" t="str">
        <f t="shared" ca="1" si="2"/>
        <v/>
      </c>
      <c r="C15" s="2" t="str">
        <f t="shared" ca="1" si="3"/>
        <v/>
      </c>
    </row>
    <row r="16" spans="1:23" x14ac:dyDescent="0.3">
      <c r="B16" s="1" t="str">
        <f t="shared" ca="1" si="2"/>
        <v/>
      </c>
      <c r="C16" s="2" t="str">
        <f t="shared" ca="1" si="3"/>
        <v/>
      </c>
    </row>
    <row r="17" spans="2:3" x14ac:dyDescent="0.3">
      <c r="B17" s="1" t="str">
        <f t="shared" ca="1" si="2"/>
        <v/>
      </c>
      <c r="C17" s="2" t="str">
        <f t="shared" ca="1" si="3"/>
        <v/>
      </c>
    </row>
    <row r="18" spans="2:3" x14ac:dyDescent="0.3">
      <c r="B18" s="1" t="str">
        <f t="shared" ca="1" si="2"/>
        <v/>
      </c>
      <c r="C18" s="2" t="str">
        <f t="shared" ca="1" si="3"/>
        <v/>
      </c>
    </row>
    <row r="19" spans="2:3" x14ac:dyDescent="0.3">
      <c r="B19" s="1" t="str">
        <f t="shared" ca="1" si="2"/>
        <v/>
      </c>
      <c r="C19" s="2" t="str">
        <f t="shared" ca="1" si="3"/>
        <v/>
      </c>
    </row>
    <row r="20" spans="2:3" x14ac:dyDescent="0.3">
      <c r="B20" s="1" t="str">
        <f t="shared" ca="1" si="2"/>
        <v/>
      </c>
      <c r="C20" s="2" t="str">
        <f t="shared" ca="1" si="3"/>
        <v/>
      </c>
    </row>
    <row r="21" spans="2:3" x14ac:dyDescent="0.3">
      <c r="B21" s="1" t="str">
        <f t="shared" ca="1" si="2"/>
        <v/>
      </c>
      <c r="C21" s="2" t="str">
        <f t="shared" ca="1" si="3"/>
        <v/>
      </c>
    </row>
    <row r="22" spans="2:3" x14ac:dyDescent="0.3">
      <c r="B22" s="1" t="str">
        <f t="shared" ca="1" si="2"/>
        <v/>
      </c>
      <c r="C22" s="2" t="str">
        <f t="shared" ca="1" si="3"/>
        <v/>
      </c>
    </row>
    <row r="23" spans="2:3" x14ac:dyDescent="0.3">
      <c r="B23" s="1" t="str">
        <f t="shared" ca="1" si="2"/>
        <v/>
      </c>
      <c r="C23" s="2" t="str">
        <f t="shared" ca="1" si="3"/>
        <v/>
      </c>
    </row>
    <row r="24" spans="2:3" x14ac:dyDescent="0.3">
      <c r="B24" s="1" t="str">
        <f t="shared" ca="1" si="2"/>
        <v/>
      </c>
      <c r="C24" s="2" t="str">
        <f t="shared" ca="1" si="3"/>
        <v/>
      </c>
    </row>
    <row r="25" spans="2:3" x14ac:dyDescent="0.3">
      <c r="B25" s="1" t="str">
        <f t="shared" ca="1" si="2"/>
        <v/>
      </c>
      <c r="C25" s="2" t="str">
        <f t="shared" ca="1" si="3"/>
        <v/>
      </c>
    </row>
    <row r="26" spans="2:3" x14ac:dyDescent="0.3">
      <c r="B26" s="1" t="str">
        <f t="shared" ca="1" si="2"/>
        <v/>
      </c>
      <c r="C26" s="2" t="str">
        <f t="shared" ca="1" si="3"/>
        <v/>
      </c>
    </row>
    <row r="27" spans="2:3" x14ac:dyDescent="0.3">
      <c r="B27" s="1" t="str">
        <f t="shared" ca="1" si="2"/>
        <v/>
      </c>
      <c r="C27" s="2" t="str">
        <f t="shared" ca="1" si="3"/>
        <v/>
      </c>
    </row>
    <row r="28" spans="2:3" x14ac:dyDescent="0.3">
      <c r="B28" s="1" t="str">
        <f t="shared" ca="1" si="2"/>
        <v/>
      </c>
      <c r="C28" s="2" t="str">
        <f t="shared" ca="1" si="3"/>
        <v/>
      </c>
    </row>
    <row r="29" spans="2:3" x14ac:dyDescent="0.3">
      <c r="B29" s="1" t="str">
        <f t="shared" ca="1" si="2"/>
        <v/>
      </c>
      <c r="C29" s="2" t="str">
        <f t="shared" ca="1" si="3"/>
        <v/>
      </c>
    </row>
    <row r="30" spans="2:3" x14ac:dyDescent="0.3">
      <c r="B30" s="1" t="str">
        <f t="shared" ca="1" si="2"/>
        <v/>
      </c>
      <c r="C30" s="2" t="str">
        <f t="shared" ca="1" si="3"/>
        <v/>
      </c>
    </row>
    <row r="31" spans="2:3" x14ac:dyDescent="0.3">
      <c r="B31" s="1" t="str">
        <f t="shared" ca="1" si="2"/>
        <v/>
      </c>
      <c r="C31" s="2" t="str">
        <f t="shared" ca="1" si="3"/>
        <v/>
      </c>
    </row>
    <row r="32" spans="2:3" x14ac:dyDescent="0.3">
      <c r="B32" s="1" t="str">
        <f t="shared" ca="1" si="2"/>
        <v/>
      </c>
      <c r="C32" s="2" t="str">
        <f t="shared" ca="1" si="3"/>
        <v/>
      </c>
    </row>
    <row r="33" spans="2:3" x14ac:dyDescent="0.3">
      <c r="B33" s="1" t="str">
        <f t="shared" ca="1" si="2"/>
        <v/>
      </c>
      <c r="C33" s="2" t="str">
        <f t="shared" ca="1" si="3"/>
        <v/>
      </c>
    </row>
    <row r="34" spans="2:3" x14ac:dyDescent="0.3">
      <c r="B34" s="1" t="str">
        <f t="shared" ca="1" si="2"/>
        <v/>
      </c>
      <c r="C34" s="2" t="str">
        <f t="shared" ca="1" si="3"/>
        <v/>
      </c>
    </row>
    <row r="35" spans="2:3" x14ac:dyDescent="0.3">
      <c r="B35" s="1" t="str">
        <f t="shared" ca="1" si="2"/>
        <v/>
      </c>
      <c r="C35" s="2" t="str">
        <f t="shared" ca="1" si="3"/>
        <v/>
      </c>
    </row>
    <row r="36" spans="2:3" x14ac:dyDescent="0.3">
      <c r="B36" s="1" t="str">
        <f t="shared" ca="1" si="2"/>
        <v/>
      </c>
      <c r="C36" s="2" t="str">
        <f t="shared" ca="1" si="3"/>
        <v/>
      </c>
    </row>
    <row r="37" spans="2:3" x14ac:dyDescent="0.3">
      <c r="B37" s="1" t="str">
        <f t="shared" ca="1" si="2"/>
        <v/>
      </c>
      <c r="C37" s="2" t="str">
        <f t="shared" ca="1" si="3"/>
        <v/>
      </c>
    </row>
    <row r="38" spans="2:3" x14ac:dyDescent="0.3">
      <c r="B38" s="1" t="str">
        <f t="shared" ca="1" si="2"/>
        <v/>
      </c>
      <c r="C38" s="2" t="str">
        <f t="shared" ca="1" si="3"/>
        <v/>
      </c>
    </row>
    <row r="39" spans="2:3" x14ac:dyDescent="0.3">
      <c r="B39" s="1" t="str">
        <f t="shared" ca="1" si="2"/>
        <v/>
      </c>
      <c r="C39" s="2" t="str">
        <f t="shared" ca="1" si="3"/>
        <v/>
      </c>
    </row>
    <row r="40" spans="2:3" x14ac:dyDescent="0.3">
      <c r="B40" s="1" t="str">
        <f t="shared" ca="1" si="2"/>
        <v/>
      </c>
      <c r="C40" s="2" t="str">
        <f t="shared" ca="1" si="3"/>
        <v/>
      </c>
    </row>
    <row r="41" spans="2:3" x14ac:dyDescent="0.3">
      <c r="B41" s="1" t="str">
        <f t="shared" ca="1" si="2"/>
        <v/>
      </c>
      <c r="C41" s="2" t="str">
        <f t="shared" ca="1" si="3"/>
        <v/>
      </c>
    </row>
    <row r="42" spans="2:3" x14ac:dyDescent="0.3">
      <c r="B42" s="1" t="str">
        <f t="shared" ca="1" si="2"/>
        <v/>
      </c>
      <c r="C42" s="2" t="str">
        <f t="shared" ca="1" si="3"/>
        <v/>
      </c>
    </row>
    <row r="43" spans="2:3" x14ac:dyDescent="0.3">
      <c r="B43" s="1" t="str">
        <f t="shared" ca="1" si="2"/>
        <v/>
      </c>
      <c r="C43" s="2" t="str">
        <f t="shared" ca="1" si="3"/>
        <v/>
      </c>
    </row>
    <row r="44" spans="2:3" x14ac:dyDescent="0.3">
      <c r="B44" s="1" t="str">
        <f t="shared" ca="1" si="2"/>
        <v/>
      </c>
      <c r="C44" s="2" t="str">
        <f t="shared" ca="1" si="3"/>
        <v/>
      </c>
    </row>
    <row r="45" spans="2:3" x14ac:dyDescent="0.3">
      <c r="B45" s="1" t="str">
        <f t="shared" ca="1" si="2"/>
        <v/>
      </c>
      <c r="C45" s="2" t="str">
        <f t="shared" ca="1" si="3"/>
        <v/>
      </c>
    </row>
    <row r="46" spans="2:3" x14ac:dyDescent="0.3">
      <c r="B46" s="1" t="str">
        <f t="shared" ca="1" si="2"/>
        <v/>
      </c>
      <c r="C46" s="2" t="str">
        <f t="shared" ca="1" si="3"/>
        <v/>
      </c>
    </row>
    <row r="47" spans="2:3" x14ac:dyDescent="0.3">
      <c r="B47" s="1" t="str">
        <f t="shared" ca="1" si="2"/>
        <v/>
      </c>
      <c r="C47" s="2" t="str">
        <f t="shared" ca="1" si="3"/>
        <v/>
      </c>
    </row>
    <row r="48" spans="2:3" x14ac:dyDescent="0.3">
      <c r="B48" s="1" t="str">
        <f t="shared" ca="1" si="2"/>
        <v/>
      </c>
      <c r="C48" s="2" t="str">
        <f t="shared" ca="1" si="3"/>
        <v/>
      </c>
    </row>
    <row r="49" spans="2:3" x14ac:dyDescent="0.3">
      <c r="B49" s="1" t="str">
        <f t="shared" ca="1" si="2"/>
        <v/>
      </c>
      <c r="C49" s="2" t="str">
        <f t="shared" ca="1" si="3"/>
        <v/>
      </c>
    </row>
    <row r="50" spans="2:3" x14ac:dyDescent="0.3">
      <c r="B50" s="1" t="str">
        <f t="shared" ca="1" si="2"/>
        <v/>
      </c>
      <c r="C50" s="2" t="str">
        <f t="shared" ca="1" si="3"/>
        <v/>
      </c>
    </row>
    <row r="51" spans="2:3" x14ac:dyDescent="0.3">
      <c r="B51" s="1" t="str">
        <f t="shared" ca="1" si="2"/>
        <v/>
      </c>
      <c r="C51" s="2" t="str">
        <f t="shared" ca="1" si="3"/>
        <v/>
      </c>
    </row>
    <row r="52" spans="2:3" x14ac:dyDescent="0.3">
      <c r="B52" s="1" t="str">
        <f t="shared" ca="1" si="2"/>
        <v/>
      </c>
      <c r="C52" s="2" t="str">
        <f t="shared" ca="1" si="3"/>
        <v/>
      </c>
    </row>
    <row r="53" spans="2:3" x14ac:dyDescent="0.3">
      <c r="B53" s="1" t="str">
        <f t="shared" ca="1" si="2"/>
        <v/>
      </c>
      <c r="C53" s="2" t="str">
        <f t="shared" ca="1" si="3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4">IF(D56 &lt;&gt;"", IF(C56 ="", NOW(), C56), "")</f>
        <v/>
      </c>
      <c r="C56" s="2" t="str">
        <f t="shared" ref="C56:C101" ca="1" si="5">IF(D56 &lt;&gt;"", IF(C56 ="", NOW(), C56), "")</f>
        <v/>
      </c>
    </row>
    <row r="57" spans="2:3" x14ac:dyDescent="0.3">
      <c r="B57" s="1" t="str">
        <f t="shared" ca="1" si="4"/>
        <v/>
      </c>
      <c r="C57" s="2" t="str">
        <f t="shared" ca="1" si="5"/>
        <v/>
      </c>
    </row>
    <row r="58" spans="2:3" x14ac:dyDescent="0.3">
      <c r="B58" s="1" t="str">
        <f t="shared" ca="1" si="4"/>
        <v/>
      </c>
      <c r="C58" s="2" t="str">
        <f t="shared" ca="1" si="5"/>
        <v/>
      </c>
    </row>
    <row r="59" spans="2:3" x14ac:dyDescent="0.3">
      <c r="B59" s="1" t="str">
        <f t="shared" ca="1" si="4"/>
        <v/>
      </c>
      <c r="C59" s="2" t="str">
        <f t="shared" ca="1" si="5"/>
        <v/>
      </c>
    </row>
    <row r="60" spans="2:3" x14ac:dyDescent="0.3">
      <c r="B60" s="1" t="str">
        <f t="shared" ca="1" si="4"/>
        <v/>
      </c>
      <c r="C60" s="2" t="str">
        <f t="shared" ca="1" si="5"/>
        <v/>
      </c>
    </row>
    <row r="61" spans="2:3" x14ac:dyDescent="0.3">
      <c r="B61" s="1" t="str">
        <f t="shared" ca="1" si="4"/>
        <v/>
      </c>
      <c r="C61" s="2" t="str">
        <f t="shared" ca="1" si="5"/>
        <v/>
      </c>
    </row>
    <row r="62" spans="2:3" x14ac:dyDescent="0.3">
      <c r="B62" s="1" t="str">
        <f t="shared" ca="1" si="4"/>
        <v/>
      </c>
      <c r="C62" s="2" t="str">
        <f t="shared" ca="1" si="5"/>
        <v/>
      </c>
    </row>
    <row r="63" spans="2:3" x14ac:dyDescent="0.3">
      <c r="B63" s="1" t="str">
        <f t="shared" ca="1" si="4"/>
        <v/>
      </c>
      <c r="C63" s="2" t="str">
        <f t="shared" ca="1" si="5"/>
        <v/>
      </c>
    </row>
    <row r="64" spans="2:3" x14ac:dyDescent="0.3">
      <c r="B64" s="1" t="str">
        <f t="shared" ca="1" si="4"/>
        <v/>
      </c>
      <c r="C64" s="2" t="str">
        <f t="shared" ca="1" si="5"/>
        <v/>
      </c>
    </row>
    <row r="65" spans="2:3" x14ac:dyDescent="0.3">
      <c r="B65" s="1" t="str">
        <f t="shared" ca="1" si="4"/>
        <v/>
      </c>
      <c r="C65" s="2" t="str">
        <f t="shared" ca="1" si="5"/>
        <v/>
      </c>
    </row>
    <row r="66" spans="2:3" x14ac:dyDescent="0.3">
      <c r="B66" s="1" t="str">
        <f t="shared" ca="1" si="4"/>
        <v/>
      </c>
      <c r="C66" s="2" t="str">
        <f t="shared" ca="1" si="5"/>
        <v/>
      </c>
    </row>
    <row r="67" spans="2:3" x14ac:dyDescent="0.3">
      <c r="B67" s="1" t="str">
        <f t="shared" ca="1" si="4"/>
        <v/>
      </c>
      <c r="C67" s="2" t="str">
        <f t="shared" ca="1" si="5"/>
        <v/>
      </c>
    </row>
    <row r="68" spans="2:3" x14ac:dyDescent="0.3">
      <c r="B68" s="1" t="str">
        <f t="shared" ca="1" si="4"/>
        <v/>
      </c>
      <c r="C68" s="2" t="str">
        <f t="shared" ca="1" si="5"/>
        <v/>
      </c>
    </row>
    <row r="69" spans="2:3" x14ac:dyDescent="0.3">
      <c r="B69" s="1" t="str">
        <f t="shared" ca="1" si="4"/>
        <v/>
      </c>
      <c r="C69" s="2" t="str">
        <f t="shared" ca="1" si="5"/>
        <v/>
      </c>
    </row>
    <row r="70" spans="2:3" x14ac:dyDescent="0.3">
      <c r="B70" s="1" t="str">
        <f t="shared" ca="1" si="4"/>
        <v/>
      </c>
      <c r="C70" s="2" t="str">
        <f t="shared" ca="1" si="5"/>
        <v/>
      </c>
    </row>
    <row r="71" spans="2:3" x14ac:dyDescent="0.3">
      <c r="B71" s="1" t="str">
        <f t="shared" ca="1" si="4"/>
        <v/>
      </c>
      <c r="C71" s="2" t="str">
        <f t="shared" ca="1" si="5"/>
        <v/>
      </c>
    </row>
    <row r="72" spans="2:3" x14ac:dyDescent="0.3">
      <c r="B72" s="1" t="str">
        <f t="shared" ca="1" si="4"/>
        <v/>
      </c>
      <c r="C72" s="2" t="str">
        <f t="shared" ca="1" si="5"/>
        <v/>
      </c>
    </row>
    <row r="73" spans="2:3" x14ac:dyDescent="0.3">
      <c r="B73" s="1" t="str">
        <f t="shared" ca="1" si="4"/>
        <v/>
      </c>
      <c r="C73" s="2" t="str">
        <f t="shared" ca="1" si="5"/>
        <v/>
      </c>
    </row>
    <row r="74" spans="2:3" x14ac:dyDescent="0.3">
      <c r="B74" s="1" t="str">
        <f t="shared" ca="1" si="4"/>
        <v/>
      </c>
      <c r="C74" s="2" t="str">
        <f t="shared" ca="1" si="5"/>
        <v/>
      </c>
    </row>
    <row r="75" spans="2:3" x14ac:dyDescent="0.3">
      <c r="B75" s="1" t="str">
        <f t="shared" ca="1" si="4"/>
        <v/>
      </c>
      <c r="C75" s="2" t="str">
        <f t="shared" ca="1" si="5"/>
        <v/>
      </c>
    </row>
    <row r="76" spans="2:3" x14ac:dyDescent="0.3">
      <c r="B76" s="1" t="str">
        <f t="shared" ca="1" si="4"/>
        <v/>
      </c>
      <c r="C76" s="2" t="str">
        <f t="shared" ca="1" si="5"/>
        <v/>
      </c>
    </row>
    <row r="77" spans="2:3" x14ac:dyDescent="0.3">
      <c r="B77" s="1" t="str">
        <f t="shared" ca="1" si="4"/>
        <v/>
      </c>
      <c r="C77" s="2" t="str">
        <f t="shared" ca="1" si="5"/>
        <v/>
      </c>
    </row>
    <row r="78" spans="2:3" x14ac:dyDescent="0.3">
      <c r="B78" s="1" t="str">
        <f t="shared" ca="1" si="4"/>
        <v/>
      </c>
      <c r="C78" s="2" t="str">
        <f t="shared" ca="1" si="5"/>
        <v/>
      </c>
    </row>
    <row r="79" spans="2:3" x14ac:dyDescent="0.3">
      <c r="B79" s="1" t="str">
        <f t="shared" ca="1" si="4"/>
        <v/>
      </c>
      <c r="C79" s="2" t="str">
        <f t="shared" ca="1" si="5"/>
        <v/>
      </c>
    </row>
    <row r="80" spans="2:3" x14ac:dyDescent="0.3">
      <c r="B80" s="1" t="str">
        <f t="shared" ca="1" si="4"/>
        <v/>
      </c>
      <c r="C80" s="2" t="str">
        <f t="shared" ca="1" si="5"/>
        <v/>
      </c>
    </row>
    <row r="81" spans="2:3" x14ac:dyDescent="0.3">
      <c r="B81" s="1" t="str">
        <f t="shared" ca="1" si="4"/>
        <v/>
      </c>
      <c r="C81" s="2" t="str">
        <f t="shared" ca="1" si="5"/>
        <v/>
      </c>
    </row>
    <row r="82" spans="2:3" x14ac:dyDescent="0.3">
      <c r="B82" s="1" t="str">
        <f t="shared" ca="1" si="4"/>
        <v/>
      </c>
      <c r="C82" s="2" t="str">
        <f t="shared" ca="1" si="5"/>
        <v/>
      </c>
    </row>
    <row r="83" spans="2:3" x14ac:dyDescent="0.3">
      <c r="B83" s="1" t="str">
        <f t="shared" ca="1" si="4"/>
        <v/>
      </c>
      <c r="C83" s="2" t="str">
        <f t="shared" ca="1" si="5"/>
        <v/>
      </c>
    </row>
    <row r="84" spans="2:3" x14ac:dyDescent="0.3">
      <c r="B84" s="1" t="str">
        <f t="shared" ca="1" si="4"/>
        <v/>
      </c>
      <c r="C84" s="2" t="str">
        <f t="shared" ca="1" si="5"/>
        <v/>
      </c>
    </row>
    <row r="85" spans="2:3" x14ac:dyDescent="0.3">
      <c r="B85" s="1" t="str">
        <f t="shared" ca="1" si="4"/>
        <v/>
      </c>
      <c r="C85" s="2" t="str">
        <f t="shared" ca="1" si="5"/>
        <v/>
      </c>
    </row>
    <row r="86" spans="2:3" x14ac:dyDescent="0.3">
      <c r="B86" s="1" t="str">
        <f t="shared" ca="1" si="4"/>
        <v/>
      </c>
      <c r="C86" s="2" t="str">
        <f t="shared" ca="1" si="5"/>
        <v/>
      </c>
    </row>
    <row r="87" spans="2:3" x14ac:dyDescent="0.3">
      <c r="B87" s="1" t="str">
        <f t="shared" ca="1" si="4"/>
        <v/>
      </c>
      <c r="C87" s="2" t="str">
        <f t="shared" ca="1" si="5"/>
        <v/>
      </c>
    </row>
    <row r="88" spans="2:3" x14ac:dyDescent="0.3">
      <c r="B88" s="1" t="str">
        <f t="shared" ca="1" si="4"/>
        <v/>
      </c>
      <c r="C88" s="2" t="str">
        <f t="shared" ca="1" si="5"/>
        <v/>
      </c>
    </row>
    <row r="89" spans="2:3" x14ac:dyDescent="0.3">
      <c r="B89" s="1" t="str">
        <f t="shared" ca="1" si="4"/>
        <v/>
      </c>
      <c r="C89" s="2" t="str">
        <f t="shared" ca="1" si="5"/>
        <v/>
      </c>
    </row>
    <row r="90" spans="2:3" x14ac:dyDescent="0.3">
      <c r="B90" s="1" t="str">
        <f t="shared" ca="1" si="4"/>
        <v/>
      </c>
      <c r="C90" s="2" t="str">
        <f t="shared" ca="1" si="5"/>
        <v/>
      </c>
    </row>
    <row r="91" spans="2:3" x14ac:dyDescent="0.3">
      <c r="B91" s="1" t="str">
        <f t="shared" ca="1" si="4"/>
        <v/>
      </c>
      <c r="C91" s="2" t="str">
        <f t="shared" ca="1" si="5"/>
        <v/>
      </c>
    </row>
    <row r="92" spans="2:3" x14ac:dyDescent="0.3">
      <c r="B92" s="1" t="str">
        <f t="shared" ca="1" si="4"/>
        <v/>
      </c>
      <c r="C92" s="2" t="str">
        <f t="shared" ca="1" si="5"/>
        <v/>
      </c>
    </row>
    <row r="93" spans="2:3" x14ac:dyDescent="0.3">
      <c r="B93" s="1" t="str">
        <f t="shared" ca="1" si="4"/>
        <v/>
      </c>
      <c r="C93" s="2" t="str">
        <f t="shared" ca="1" si="5"/>
        <v/>
      </c>
    </row>
    <row r="94" spans="2:3" x14ac:dyDescent="0.3">
      <c r="B94" s="1" t="str">
        <f t="shared" ca="1" si="4"/>
        <v/>
      </c>
      <c r="C94" s="2" t="str">
        <f t="shared" ca="1" si="5"/>
        <v/>
      </c>
    </row>
    <row r="95" spans="2:3" x14ac:dyDescent="0.3">
      <c r="B95" s="1" t="str">
        <f t="shared" ca="1" si="4"/>
        <v/>
      </c>
      <c r="C95" s="2" t="str">
        <f t="shared" ca="1" si="5"/>
        <v/>
      </c>
    </row>
    <row r="96" spans="2:3" x14ac:dyDescent="0.3">
      <c r="B96" s="1" t="str">
        <f t="shared" ca="1" si="4"/>
        <v/>
      </c>
      <c r="C96" s="2" t="str">
        <f t="shared" ca="1" si="5"/>
        <v/>
      </c>
    </row>
    <row r="97" spans="2:3" x14ac:dyDescent="0.3">
      <c r="B97" s="1" t="str">
        <f t="shared" ca="1" si="4"/>
        <v/>
      </c>
      <c r="C97" s="2" t="str">
        <f t="shared" ca="1" si="5"/>
        <v/>
      </c>
    </row>
    <row r="98" spans="2:3" x14ac:dyDescent="0.3">
      <c r="B98" s="1" t="str">
        <f t="shared" ca="1" si="4"/>
        <v/>
      </c>
      <c r="C98" s="2" t="str">
        <f t="shared" ca="1" si="5"/>
        <v/>
      </c>
    </row>
    <row r="99" spans="2:3" x14ac:dyDescent="0.3">
      <c r="B99" s="1" t="str">
        <f t="shared" ca="1" si="4"/>
        <v/>
      </c>
      <c r="C99" s="2" t="str">
        <f t="shared" ca="1" si="5"/>
        <v/>
      </c>
    </row>
    <row r="100" spans="2:3" x14ac:dyDescent="0.3">
      <c r="B100" s="1" t="str">
        <f t="shared" ca="1" si="4"/>
        <v/>
      </c>
      <c r="C100" s="2" t="str">
        <f t="shared" ca="1" si="5"/>
        <v/>
      </c>
    </row>
    <row r="101" spans="2:3" x14ac:dyDescent="0.3">
      <c r="B101" s="1" t="str">
        <f t="shared" ca="1" si="4"/>
        <v/>
      </c>
      <c r="C101" s="2" t="str">
        <f t="shared" ca="1" si="5"/>
        <v/>
      </c>
    </row>
  </sheetData>
  <mergeCells count="15">
    <mergeCell ref="N4:R4"/>
    <mergeCell ref="N5:R5"/>
    <mergeCell ref="N6:R6"/>
    <mergeCell ref="N7:R7"/>
    <mergeCell ref="N8:R8"/>
    <mergeCell ref="I4:M4"/>
    <mergeCell ref="I5:M5"/>
    <mergeCell ref="I6:M6"/>
    <mergeCell ref="I7:M7"/>
    <mergeCell ref="I8:M8"/>
    <mergeCell ref="A1:I2"/>
    <mergeCell ref="J1:J2"/>
    <mergeCell ref="K1:M2"/>
    <mergeCell ref="N1:R3"/>
    <mergeCell ref="I3:M3"/>
  </mergeCells>
  <conditionalFormatting sqref="D4:D37 D39:D1048576">
    <cfRule type="duplicateValues" dxfId="87" priority="8"/>
  </conditionalFormatting>
  <conditionalFormatting sqref="D4:D1048576">
    <cfRule type="duplicateValues" dxfId="86" priority="7"/>
  </conditionalFormatting>
  <conditionalFormatting sqref="J1">
    <cfRule type="duplicateValues" dxfId="85" priority="6"/>
  </conditionalFormatting>
  <conditionalFormatting sqref="J1">
    <cfRule type="duplicateValues" dxfId="84" priority="5"/>
  </conditionalFormatting>
  <conditionalFormatting sqref="K1">
    <cfRule type="duplicateValues" dxfId="83" priority="4"/>
  </conditionalFormatting>
  <conditionalFormatting sqref="K1:M2">
    <cfRule type="duplicateValues" dxfId="82" priority="3"/>
  </conditionalFormatting>
  <conditionalFormatting sqref="K1:M2">
    <cfRule type="duplicateValues" dxfId="81" priority="2"/>
  </conditionalFormatting>
  <conditionalFormatting sqref="D4:D8 K1:M2">
    <cfRule type="duplicateValues" dxfId="80" priority="1"/>
  </conditionalFormatting>
  <dataValidations count="1">
    <dataValidation type="list" allowBlank="1" showInputMessage="1" showErrorMessage="1" sqref="H4:H8" xr:uid="{A61C6714-22C3-45C9-A20F-64E6754CD77A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101"/>
  <sheetViews>
    <sheetView workbookViewId="0">
      <selection activeCell="D4" sqref="D4:D8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19.8" customHeight="1" x14ac:dyDescent="0.3">
      <c r="A4" s="18">
        <v>1</v>
      </c>
      <c r="B4" s="7">
        <f ca="1">IF(D4 &lt;&gt;"", IF(C4 ="", NOW(), C4), "")</f>
        <v>44850.411208449077</v>
      </c>
      <c r="C4" s="8">
        <f ca="1">IF(D4 &lt;&gt;"", IF(C4 ="", NOW(), C4), "")</f>
        <v>44850.411208449077</v>
      </c>
      <c r="D4" s="6" t="s">
        <v>485</v>
      </c>
      <c r="E4" s="7">
        <v>44854</v>
      </c>
      <c r="F4" s="7">
        <f t="shared" ref="F4" si="0">EDATE(E4,3)-0</f>
        <v>44946</v>
      </c>
      <c r="G4" s="9">
        <f t="shared" ref="G4" ca="1" si="1">E4-TODAY()</f>
        <v>-741</v>
      </c>
      <c r="H4" s="9"/>
      <c r="I4" s="75"/>
      <c r="J4" s="75"/>
      <c r="K4" s="75"/>
      <c r="L4" s="75"/>
      <c r="M4" s="75"/>
      <c r="N4" s="75"/>
      <c r="O4" s="75"/>
      <c r="P4" s="75"/>
      <c r="Q4" s="75"/>
      <c r="R4" s="77"/>
    </row>
    <row r="5" spans="1:23" ht="19.8" customHeight="1" x14ac:dyDescent="0.3">
      <c r="A5" s="18">
        <v>2</v>
      </c>
      <c r="B5" s="7">
        <f t="shared" ref="B5:B53" ca="1" si="2">IF(D5 &lt;&gt;"", IF(C5 ="", NOW(), C5), "")</f>
        <v>44850.41130983796</v>
      </c>
      <c r="C5" s="8">
        <f t="shared" ref="C5:C53" ca="1" si="3">IF(D5 &lt;&gt;"", IF(C5 ="", NOW(), C5), "")</f>
        <v>44850.41130983796</v>
      </c>
      <c r="D5" s="6" t="s">
        <v>486</v>
      </c>
      <c r="E5" s="6"/>
      <c r="F5" s="6"/>
      <c r="G5" s="6"/>
      <c r="H5" s="9"/>
      <c r="I5" s="75"/>
      <c r="J5" s="75"/>
      <c r="K5" s="75"/>
      <c r="L5" s="75"/>
      <c r="M5" s="75"/>
      <c r="N5" s="75"/>
      <c r="O5" s="75"/>
      <c r="P5" s="75"/>
      <c r="Q5" s="75"/>
      <c r="R5" s="77"/>
    </row>
    <row r="6" spans="1:23" ht="19.8" customHeight="1" x14ac:dyDescent="0.3">
      <c r="A6" s="18">
        <v>3</v>
      </c>
      <c r="B6" s="7">
        <f t="shared" ca="1" si="2"/>
        <v>44850.411453935187</v>
      </c>
      <c r="C6" s="8">
        <f t="shared" ca="1" si="3"/>
        <v>44850.411453935187</v>
      </c>
      <c r="D6" s="6" t="s">
        <v>487</v>
      </c>
      <c r="E6" s="6"/>
      <c r="F6" s="6"/>
      <c r="G6" s="6"/>
      <c r="H6" s="9"/>
      <c r="I6" s="75"/>
      <c r="J6" s="75"/>
      <c r="K6" s="75"/>
      <c r="L6" s="75"/>
      <c r="M6" s="75"/>
      <c r="N6" s="75"/>
      <c r="O6" s="75"/>
      <c r="P6" s="75"/>
      <c r="Q6" s="75"/>
      <c r="R6" s="77"/>
    </row>
    <row r="7" spans="1:23" ht="19.8" customHeight="1" x14ac:dyDescent="0.3">
      <c r="A7" s="18">
        <v>4</v>
      </c>
      <c r="B7" s="7">
        <f t="shared" ca="1" si="2"/>
        <v>44850.411927314817</v>
      </c>
      <c r="C7" s="8">
        <f t="shared" ca="1" si="3"/>
        <v>44850.411927314817</v>
      </c>
      <c r="D7" s="6" t="s">
        <v>488</v>
      </c>
      <c r="E7" s="6"/>
      <c r="F7" s="6"/>
      <c r="G7" s="6"/>
      <c r="H7" s="9"/>
      <c r="I7" s="75"/>
      <c r="J7" s="75"/>
      <c r="K7" s="75"/>
      <c r="L7" s="75"/>
      <c r="M7" s="75"/>
      <c r="N7" s="75"/>
      <c r="O7" s="75"/>
      <c r="P7" s="75"/>
      <c r="Q7" s="75"/>
      <c r="R7" s="77"/>
    </row>
    <row r="8" spans="1:23" ht="19.8" customHeight="1" thickBot="1" x14ac:dyDescent="0.35">
      <c r="A8" s="19">
        <v>5</v>
      </c>
      <c r="B8" s="10">
        <f t="shared" ca="1" si="2"/>
        <v>44850.412062615738</v>
      </c>
      <c r="C8" s="11">
        <f t="shared" ca="1" si="3"/>
        <v>44850.412062615738</v>
      </c>
      <c r="D8" s="12" t="s">
        <v>492</v>
      </c>
      <c r="E8" s="12"/>
      <c r="F8" s="12"/>
      <c r="G8" s="12"/>
      <c r="H8" s="9"/>
      <c r="I8" s="76"/>
      <c r="J8" s="76"/>
      <c r="K8" s="76"/>
      <c r="L8" s="76"/>
      <c r="M8" s="76"/>
      <c r="N8" s="76"/>
      <c r="O8" s="76"/>
      <c r="P8" s="76"/>
      <c r="Q8" s="76"/>
      <c r="R8" s="78"/>
    </row>
    <row r="9" spans="1:23" x14ac:dyDescent="0.3">
      <c r="B9" s="1" t="str">
        <f t="shared" ca="1" si="2"/>
        <v/>
      </c>
      <c r="C9" s="2" t="str">
        <f t="shared" ca="1" si="3"/>
        <v/>
      </c>
    </row>
    <row r="10" spans="1:23" x14ac:dyDescent="0.3">
      <c r="B10" s="1" t="str">
        <f t="shared" ca="1" si="2"/>
        <v/>
      </c>
      <c r="C10" s="2" t="str">
        <f t="shared" ca="1" si="3"/>
        <v/>
      </c>
    </row>
    <row r="11" spans="1:23" x14ac:dyDescent="0.3">
      <c r="B11" s="1" t="str">
        <f t="shared" ca="1" si="2"/>
        <v/>
      </c>
      <c r="C11" s="2" t="str">
        <f t="shared" ca="1" si="3"/>
        <v/>
      </c>
    </row>
    <row r="12" spans="1:23" x14ac:dyDescent="0.3">
      <c r="B12" s="1" t="str">
        <f t="shared" ca="1" si="2"/>
        <v/>
      </c>
      <c r="C12" s="2" t="str">
        <f t="shared" ca="1" si="3"/>
        <v/>
      </c>
    </row>
    <row r="13" spans="1:23" x14ac:dyDescent="0.3">
      <c r="B13" s="1" t="str">
        <f t="shared" ca="1" si="2"/>
        <v/>
      </c>
      <c r="C13" s="2" t="str">
        <f t="shared" ca="1" si="3"/>
        <v/>
      </c>
    </row>
    <row r="14" spans="1:23" x14ac:dyDescent="0.3">
      <c r="B14" s="1" t="str">
        <f t="shared" ca="1" si="2"/>
        <v/>
      </c>
      <c r="C14" s="2" t="str">
        <f t="shared" ca="1" si="3"/>
        <v/>
      </c>
    </row>
    <row r="15" spans="1:23" x14ac:dyDescent="0.3">
      <c r="B15" s="1" t="str">
        <f t="shared" ca="1" si="2"/>
        <v/>
      </c>
      <c r="C15" s="2" t="str">
        <f t="shared" ca="1" si="3"/>
        <v/>
      </c>
    </row>
    <row r="16" spans="1:23" x14ac:dyDescent="0.3">
      <c r="B16" s="1" t="str">
        <f t="shared" ca="1" si="2"/>
        <v/>
      </c>
      <c r="C16" s="2" t="str">
        <f t="shared" ca="1" si="3"/>
        <v/>
      </c>
    </row>
    <row r="17" spans="2:3" x14ac:dyDescent="0.3">
      <c r="B17" s="1" t="str">
        <f t="shared" ca="1" si="2"/>
        <v/>
      </c>
      <c r="C17" s="2" t="str">
        <f t="shared" ca="1" si="3"/>
        <v/>
      </c>
    </row>
    <row r="18" spans="2:3" x14ac:dyDescent="0.3">
      <c r="B18" s="1" t="str">
        <f t="shared" ca="1" si="2"/>
        <v/>
      </c>
      <c r="C18" s="2" t="str">
        <f t="shared" ca="1" si="3"/>
        <v/>
      </c>
    </row>
    <row r="19" spans="2:3" x14ac:dyDescent="0.3">
      <c r="B19" s="1" t="str">
        <f t="shared" ca="1" si="2"/>
        <v/>
      </c>
      <c r="C19" s="2" t="str">
        <f t="shared" ca="1" si="3"/>
        <v/>
      </c>
    </row>
    <row r="20" spans="2:3" x14ac:dyDescent="0.3">
      <c r="B20" s="1" t="str">
        <f t="shared" ca="1" si="2"/>
        <v/>
      </c>
      <c r="C20" s="2" t="str">
        <f t="shared" ca="1" si="3"/>
        <v/>
      </c>
    </row>
    <row r="21" spans="2:3" x14ac:dyDescent="0.3">
      <c r="B21" s="1" t="str">
        <f t="shared" ca="1" si="2"/>
        <v/>
      </c>
      <c r="C21" s="2" t="str">
        <f t="shared" ca="1" si="3"/>
        <v/>
      </c>
    </row>
    <row r="22" spans="2:3" x14ac:dyDescent="0.3">
      <c r="B22" s="1" t="str">
        <f t="shared" ca="1" si="2"/>
        <v/>
      </c>
      <c r="C22" s="2" t="str">
        <f t="shared" ca="1" si="3"/>
        <v/>
      </c>
    </row>
    <row r="23" spans="2:3" x14ac:dyDescent="0.3">
      <c r="B23" s="1" t="str">
        <f t="shared" ca="1" si="2"/>
        <v/>
      </c>
      <c r="C23" s="2" t="str">
        <f t="shared" ca="1" si="3"/>
        <v/>
      </c>
    </row>
    <row r="24" spans="2:3" x14ac:dyDescent="0.3">
      <c r="B24" s="1" t="str">
        <f t="shared" ca="1" si="2"/>
        <v/>
      </c>
      <c r="C24" s="2" t="str">
        <f t="shared" ca="1" si="3"/>
        <v/>
      </c>
    </row>
    <row r="25" spans="2:3" x14ac:dyDescent="0.3">
      <c r="B25" s="1" t="str">
        <f t="shared" ca="1" si="2"/>
        <v/>
      </c>
      <c r="C25" s="2" t="str">
        <f t="shared" ca="1" si="3"/>
        <v/>
      </c>
    </row>
    <row r="26" spans="2:3" x14ac:dyDescent="0.3">
      <c r="B26" s="1" t="str">
        <f t="shared" ca="1" si="2"/>
        <v/>
      </c>
      <c r="C26" s="2" t="str">
        <f t="shared" ca="1" si="3"/>
        <v/>
      </c>
    </row>
    <row r="27" spans="2:3" x14ac:dyDescent="0.3">
      <c r="B27" s="1" t="str">
        <f t="shared" ca="1" si="2"/>
        <v/>
      </c>
      <c r="C27" s="2" t="str">
        <f t="shared" ca="1" si="3"/>
        <v/>
      </c>
    </row>
    <row r="28" spans="2:3" x14ac:dyDescent="0.3">
      <c r="B28" s="1" t="str">
        <f t="shared" ca="1" si="2"/>
        <v/>
      </c>
      <c r="C28" s="2" t="str">
        <f t="shared" ca="1" si="3"/>
        <v/>
      </c>
    </row>
    <row r="29" spans="2:3" x14ac:dyDescent="0.3">
      <c r="B29" s="1" t="str">
        <f t="shared" ca="1" si="2"/>
        <v/>
      </c>
      <c r="C29" s="2" t="str">
        <f t="shared" ca="1" si="3"/>
        <v/>
      </c>
    </row>
    <row r="30" spans="2:3" x14ac:dyDescent="0.3">
      <c r="B30" s="1" t="str">
        <f t="shared" ca="1" si="2"/>
        <v/>
      </c>
      <c r="C30" s="2" t="str">
        <f t="shared" ca="1" si="3"/>
        <v/>
      </c>
    </row>
    <row r="31" spans="2:3" x14ac:dyDescent="0.3">
      <c r="B31" s="1" t="str">
        <f t="shared" ca="1" si="2"/>
        <v/>
      </c>
      <c r="C31" s="2" t="str">
        <f t="shared" ca="1" si="3"/>
        <v/>
      </c>
    </row>
    <row r="32" spans="2:3" x14ac:dyDescent="0.3">
      <c r="B32" s="1" t="str">
        <f t="shared" ca="1" si="2"/>
        <v/>
      </c>
      <c r="C32" s="2" t="str">
        <f t="shared" ca="1" si="3"/>
        <v/>
      </c>
    </row>
    <row r="33" spans="2:3" x14ac:dyDescent="0.3">
      <c r="B33" s="1" t="str">
        <f t="shared" ca="1" si="2"/>
        <v/>
      </c>
      <c r="C33" s="2" t="str">
        <f t="shared" ca="1" si="3"/>
        <v/>
      </c>
    </row>
    <row r="34" spans="2:3" x14ac:dyDescent="0.3">
      <c r="B34" s="1" t="str">
        <f t="shared" ca="1" si="2"/>
        <v/>
      </c>
      <c r="C34" s="2" t="str">
        <f t="shared" ca="1" si="3"/>
        <v/>
      </c>
    </row>
    <row r="35" spans="2:3" x14ac:dyDescent="0.3">
      <c r="B35" s="1" t="str">
        <f t="shared" ca="1" si="2"/>
        <v/>
      </c>
      <c r="C35" s="2" t="str">
        <f t="shared" ca="1" si="3"/>
        <v/>
      </c>
    </row>
    <row r="36" spans="2:3" x14ac:dyDescent="0.3">
      <c r="B36" s="1" t="str">
        <f t="shared" ca="1" si="2"/>
        <v/>
      </c>
      <c r="C36" s="2" t="str">
        <f t="shared" ca="1" si="3"/>
        <v/>
      </c>
    </row>
    <row r="37" spans="2:3" x14ac:dyDescent="0.3">
      <c r="B37" s="1" t="str">
        <f t="shared" ca="1" si="2"/>
        <v/>
      </c>
      <c r="C37" s="2" t="str">
        <f t="shared" ca="1" si="3"/>
        <v/>
      </c>
    </row>
    <row r="38" spans="2:3" x14ac:dyDescent="0.3">
      <c r="B38" s="1" t="str">
        <f t="shared" ca="1" si="2"/>
        <v/>
      </c>
      <c r="C38" s="2" t="str">
        <f t="shared" ca="1" si="3"/>
        <v/>
      </c>
    </row>
    <row r="39" spans="2:3" x14ac:dyDescent="0.3">
      <c r="B39" s="1" t="str">
        <f t="shared" ca="1" si="2"/>
        <v/>
      </c>
      <c r="C39" s="2" t="str">
        <f t="shared" ca="1" si="3"/>
        <v/>
      </c>
    </row>
    <row r="40" spans="2:3" x14ac:dyDescent="0.3">
      <c r="B40" s="1" t="str">
        <f t="shared" ca="1" si="2"/>
        <v/>
      </c>
      <c r="C40" s="2" t="str">
        <f t="shared" ca="1" si="3"/>
        <v/>
      </c>
    </row>
    <row r="41" spans="2:3" x14ac:dyDescent="0.3">
      <c r="B41" s="1" t="str">
        <f t="shared" ca="1" si="2"/>
        <v/>
      </c>
      <c r="C41" s="2" t="str">
        <f t="shared" ca="1" si="3"/>
        <v/>
      </c>
    </row>
    <row r="42" spans="2:3" x14ac:dyDescent="0.3">
      <c r="B42" s="1" t="str">
        <f t="shared" ca="1" si="2"/>
        <v/>
      </c>
      <c r="C42" s="2" t="str">
        <f t="shared" ca="1" si="3"/>
        <v/>
      </c>
    </row>
    <row r="43" spans="2:3" x14ac:dyDescent="0.3">
      <c r="B43" s="1" t="str">
        <f t="shared" ca="1" si="2"/>
        <v/>
      </c>
      <c r="C43" s="2" t="str">
        <f t="shared" ca="1" si="3"/>
        <v/>
      </c>
    </row>
    <row r="44" spans="2:3" x14ac:dyDescent="0.3">
      <c r="B44" s="1" t="str">
        <f t="shared" ca="1" si="2"/>
        <v/>
      </c>
      <c r="C44" s="2" t="str">
        <f t="shared" ca="1" si="3"/>
        <v/>
      </c>
    </row>
    <row r="45" spans="2:3" x14ac:dyDescent="0.3">
      <c r="B45" s="1" t="str">
        <f t="shared" ca="1" si="2"/>
        <v/>
      </c>
      <c r="C45" s="2" t="str">
        <f t="shared" ca="1" si="3"/>
        <v/>
      </c>
    </row>
    <row r="46" spans="2:3" x14ac:dyDescent="0.3">
      <c r="B46" s="1" t="str">
        <f t="shared" ca="1" si="2"/>
        <v/>
      </c>
      <c r="C46" s="2" t="str">
        <f t="shared" ca="1" si="3"/>
        <v/>
      </c>
    </row>
    <row r="47" spans="2:3" x14ac:dyDescent="0.3">
      <c r="B47" s="1" t="str">
        <f t="shared" ca="1" si="2"/>
        <v/>
      </c>
      <c r="C47" s="2" t="str">
        <f t="shared" ca="1" si="3"/>
        <v/>
      </c>
    </row>
    <row r="48" spans="2:3" x14ac:dyDescent="0.3">
      <c r="B48" s="1" t="str">
        <f t="shared" ca="1" si="2"/>
        <v/>
      </c>
      <c r="C48" s="2" t="str">
        <f t="shared" ca="1" si="3"/>
        <v/>
      </c>
    </row>
    <row r="49" spans="2:3" x14ac:dyDescent="0.3">
      <c r="B49" s="1" t="str">
        <f t="shared" ca="1" si="2"/>
        <v/>
      </c>
      <c r="C49" s="2" t="str">
        <f t="shared" ca="1" si="3"/>
        <v/>
      </c>
    </row>
    <row r="50" spans="2:3" x14ac:dyDescent="0.3">
      <c r="B50" s="1" t="str">
        <f t="shared" ca="1" si="2"/>
        <v/>
      </c>
      <c r="C50" s="2" t="str">
        <f t="shared" ca="1" si="3"/>
        <v/>
      </c>
    </row>
    <row r="51" spans="2:3" x14ac:dyDescent="0.3">
      <c r="B51" s="1" t="str">
        <f t="shared" ca="1" si="2"/>
        <v/>
      </c>
      <c r="C51" s="2" t="str">
        <f t="shared" ca="1" si="3"/>
        <v/>
      </c>
    </row>
    <row r="52" spans="2:3" x14ac:dyDescent="0.3">
      <c r="B52" s="1" t="str">
        <f t="shared" ca="1" si="2"/>
        <v/>
      </c>
      <c r="C52" s="2" t="str">
        <f t="shared" ca="1" si="3"/>
        <v/>
      </c>
    </row>
    <row r="53" spans="2:3" x14ac:dyDescent="0.3">
      <c r="B53" s="1" t="str">
        <f t="shared" ca="1" si="2"/>
        <v/>
      </c>
      <c r="C53" s="2" t="str">
        <f t="shared" ca="1" si="3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4">IF(D56 &lt;&gt;"", IF(C56 ="", NOW(), C56), "")</f>
        <v/>
      </c>
      <c r="C56" s="2" t="str">
        <f t="shared" ref="C56:C101" ca="1" si="5">IF(D56 &lt;&gt;"", IF(C56 ="", NOW(), C56), "")</f>
        <v/>
      </c>
    </row>
    <row r="57" spans="2:3" x14ac:dyDescent="0.3">
      <c r="B57" s="1" t="str">
        <f t="shared" ca="1" si="4"/>
        <v/>
      </c>
      <c r="C57" s="2" t="str">
        <f t="shared" ca="1" si="5"/>
        <v/>
      </c>
    </row>
    <row r="58" spans="2:3" x14ac:dyDescent="0.3">
      <c r="B58" s="1" t="str">
        <f t="shared" ca="1" si="4"/>
        <v/>
      </c>
      <c r="C58" s="2" t="str">
        <f t="shared" ca="1" si="5"/>
        <v/>
      </c>
    </row>
    <row r="59" spans="2:3" x14ac:dyDescent="0.3">
      <c r="B59" s="1" t="str">
        <f t="shared" ca="1" si="4"/>
        <v/>
      </c>
      <c r="C59" s="2" t="str">
        <f t="shared" ca="1" si="5"/>
        <v/>
      </c>
    </row>
    <row r="60" spans="2:3" x14ac:dyDescent="0.3">
      <c r="B60" s="1" t="str">
        <f t="shared" ca="1" si="4"/>
        <v/>
      </c>
      <c r="C60" s="2" t="str">
        <f t="shared" ca="1" si="5"/>
        <v/>
      </c>
    </row>
    <row r="61" spans="2:3" x14ac:dyDescent="0.3">
      <c r="B61" s="1" t="str">
        <f t="shared" ca="1" si="4"/>
        <v/>
      </c>
      <c r="C61" s="2" t="str">
        <f t="shared" ca="1" si="5"/>
        <v/>
      </c>
    </row>
    <row r="62" spans="2:3" x14ac:dyDescent="0.3">
      <c r="B62" s="1" t="str">
        <f t="shared" ca="1" si="4"/>
        <v/>
      </c>
      <c r="C62" s="2" t="str">
        <f t="shared" ca="1" si="5"/>
        <v/>
      </c>
    </row>
    <row r="63" spans="2:3" x14ac:dyDescent="0.3">
      <c r="B63" s="1" t="str">
        <f t="shared" ca="1" si="4"/>
        <v/>
      </c>
      <c r="C63" s="2" t="str">
        <f t="shared" ca="1" si="5"/>
        <v/>
      </c>
    </row>
    <row r="64" spans="2:3" x14ac:dyDescent="0.3">
      <c r="B64" s="1" t="str">
        <f t="shared" ca="1" si="4"/>
        <v/>
      </c>
      <c r="C64" s="2" t="str">
        <f t="shared" ca="1" si="5"/>
        <v/>
      </c>
    </row>
    <row r="65" spans="2:3" x14ac:dyDescent="0.3">
      <c r="B65" s="1" t="str">
        <f t="shared" ca="1" si="4"/>
        <v/>
      </c>
      <c r="C65" s="2" t="str">
        <f t="shared" ca="1" si="5"/>
        <v/>
      </c>
    </row>
    <row r="66" spans="2:3" x14ac:dyDescent="0.3">
      <c r="B66" s="1" t="str">
        <f t="shared" ca="1" si="4"/>
        <v/>
      </c>
      <c r="C66" s="2" t="str">
        <f t="shared" ca="1" si="5"/>
        <v/>
      </c>
    </row>
    <row r="67" spans="2:3" x14ac:dyDescent="0.3">
      <c r="B67" s="1" t="str">
        <f t="shared" ca="1" si="4"/>
        <v/>
      </c>
      <c r="C67" s="2" t="str">
        <f t="shared" ca="1" si="5"/>
        <v/>
      </c>
    </row>
    <row r="68" spans="2:3" x14ac:dyDescent="0.3">
      <c r="B68" s="1" t="str">
        <f t="shared" ca="1" si="4"/>
        <v/>
      </c>
      <c r="C68" s="2" t="str">
        <f t="shared" ca="1" si="5"/>
        <v/>
      </c>
    </row>
    <row r="69" spans="2:3" x14ac:dyDescent="0.3">
      <c r="B69" s="1" t="str">
        <f t="shared" ca="1" si="4"/>
        <v/>
      </c>
      <c r="C69" s="2" t="str">
        <f t="shared" ca="1" si="5"/>
        <v/>
      </c>
    </row>
    <row r="70" spans="2:3" x14ac:dyDescent="0.3">
      <c r="B70" s="1" t="str">
        <f t="shared" ca="1" si="4"/>
        <v/>
      </c>
      <c r="C70" s="2" t="str">
        <f t="shared" ca="1" si="5"/>
        <v/>
      </c>
    </row>
    <row r="71" spans="2:3" x14ac:dyDescent="0.3">
      <c r="B71" s="1" t="str">
        <f t="shared" ca="1" si="4"/>
        <v/>
      </c>
      <c r="C71" s="2" t="str">
        <f t="shared" ca="1" si="5"/>
        <v/>
      </c>
    </row>
    <row r="72" spans="2:3" x14ac:dyDescent="0.3">
      <c r="B72" s="1" t="str">
        <f t="shared" ca="1" si="4"/>
        <v/>
      </c>
      <c r="C72" s="2" t="str">
        <f t="shared" ca="1" si="5"/>
        <v/>
      </c>
    </row>
    <row r="73" spans="2:3" x14ac:dyDescent="0.3">
      <c r="B73" s="1" t="str">
        <f t="shared" ca="1" si="4"/>
        <v/>
      </c>
      <c r="C73" s="2" t="str">
        <f t="shared" ca="1" si="5"/>
        <v/>
      </c>
    </row>
    <row r="74" spans="2:3" x14ac:dyDescent="0.3">
      <c r="B74" s="1" t="str">
        <f t="shared" ca="1" si="4"/>
        <v/>
      </c>
      <c r="C74" s="2" t="str">
        <f t="shared" ca="1" si="5"/>
        <v/>
      </c>
    </row>
    <row r="75" spans="2:3" x14ac:dyDescent="0.3">
      <c r="B75" s="1" t="str">
        <f t="shared" ca="1" si="4"/>
        <v/>
      </c>
      <c r="C75" s="2" t="str">
        <f t="shared" ca="1" si="5"/>
        <v/>
      </c>
    </row>
    <row r="76" spans="2:3" x14ac:dyDescent="0.3">
      <c r="B76" s="1" t="str">
        <f t="shared" ca="1" si="4"/>
        <v/>
      </c>
      <c r="C76" s="2" t="str">
        <f t="shared" ca="1" si="5"/>
        <v/>
      </c>
    </row>
    <row r="77" spans="2:3" x14ac:dyDescent="0.3">
      <c r="B77" s="1" t="str">
        <f t="shared" ca="1" si="4"/>
        <v/>
      </c>
      <c r="C77" s="2" t="str">
        <f t="shared" ca="1" si="5"/>
        <v/>
      </c>
    </row>
    <row r="78" spans="2:3" x14ac:dyDescent="0.3">
      <c r="B78" s="1" t="str">
        <f t="shared" ca="1" si="4"/>
        <v/>
      </c>
      <c r="C78" s="2" t="str">
        <f t="shared" ca="1" si="5"/>
        <v/>
      </c>
    </row>
    <row r="79" spans="2:3" x14ac:dyDescent="0.3">
      <c r="B79" s="1" t="str">
        <f t="shared" ca="1" si="4"/>
        <v/>
      </c>
      <c r="C79" s="2" t="str">
        <f t="shared" ca="1" si="5"/>
        <v/>
      </c>
    </row>
    <row r="80" spans="2:3" x14ac:dyDescent="0.3">
      <c r="B80" s="1" t="str">
        <f t="shared" ca="1" si="4"/>
        <v/>
      </c>
      <c r="C80" s="2" t="str">
        <f t="shared" ca="1" si="5"/>
        <v/>
      </c>
    </row>
    <row r="81" spans="2:3" x14ac:dyDescent="0.3">
      <c r="B81" s="1" t="str">
        <f t="shared" ca="1" si="4"/>
        <v/>
      </c>
      <c r="C81" s="2" t="str">
        <f t="shared" ca="1" si="5"/>
        <v/>
      </c>
    </row>
    <row r="82" spans="2:3" x14ac:dyDescent="0.3">
      <c r="B82" s="1" t="str">
        <f t="shared" ca="1" si="4"/>
        <v/>
      </c>
      <c r="C82" s="2" t="str">
        <f t="shared" ca="1" si="5"/>
        <v/>
      </c>
    </row>
    <row r="83" spans="2:3" x14ac:dyDescent="0.3">
      <c r="B83" s="1" t="str">
        <f t="shared" ca="1" si="4"/>
        <v/>
      </c>
      <c r="C83" s="2" t="str">
        <f t="shared" ca="1" si="5"/>
        <v/>
      </c>
    </row>
    <row r="84" spans="2:3" x14ac:dyDescent="0.3">
      <c r="B84" s="1" t="str">
        <f t="shared" ca="1" si="4"/>
        <v/>
      </c>
      <c r="C84" s="2" t="str">
        <f t="shared" ca="1" si="5"/>
        <v/>
      </c>
    </row>
    <row r="85" spans="2:3" x14ac:dyDescent="0.3">
      <c r="B85" s="1" t="str">
        <f t="shared" ca="1" si="4"/>
        <v/>
      </c>
      <c r="C85" s="2" t="str">
        <f t="shared" ca="1" si="5"/>
        <v/>
      </c>
    </row>
    <row r="86" spans="2:3" x14ac:dyDescent="0.3">
      <c r="B86" s="1" t="str">
        <f t="shared" ca="1" si="4"/>
        <v/>
      </c>
      <c r="C86" s="2" t="str">
        <f t="shared" ca="1" si="5"/>
        <v/>
      </c>
    </row>
    <row r="87" spans="2:3" x14ac:dyDescent="0.3">
      <c r="B87" s="1" t="str">
        <f t="shared" ca="1" si="4"/>
        <v/>
      </c>
      <c r="C87" s="2" t="str">
        <f t="shared" ca="1" si="5"/>
        <v/>
      </c>
    </row>
    <row r="88" spans="2:3" x14ac:dyDescent="0.3">
      <c r="B88" s="1" t="str">
        <f t="shared" ca="1" si="4"/>
        <v/>
      </c>
      <c r="C88" s="2" t="str">
        <f t="shared" ca="1" si="5"/>
        <v/>
      </c>
    </row>
    <row r="89" spans="2:3" x14ac:dyDescent="0.3">
      <c r="B89" s="1" t="str">
        <f t="shared" ca="1" si="4"/>
        <v/>
      </c>
      <c r="C89" s="2" t="str">
        <f t="shared" ca="1" si="5"/>
        <v/>
      </c>
    </row>
    <row r="90" spans="2:3" x14ac:dyDescent="0.3">
      <c r="B90" s="1" t="str">
        <f t="shared" ca="1" si="4"/>
        <v/>
      </c>
      <c r="C90" s="2" t="str">
        <f t="shared" ca="1" si="5"/>
        <v/>
      </c>
    </row>
    <row r="91" spans="2:3" x14ac:dyDescent="0.3">
      <c r="B91" s="1" t="str">
        <f t="shared" ca="1" si="4"/>
        <v/>
      </c>
      <c r="C91" s="2" t="str">
        <f t="shared" ca="1" si="5"/>
        <v/>
      </c>
    </row>
    <row r="92" spans="2:3" x14ac:dyDescent="0.3">
      <c r="B92" s="1" t="str">
        <f t="shared" ca="1" si="4"/>
        <v/>
      </c>
      <c r="C92" s="2" t="str">
        <f t="shared" ca="1" si="5"/>
        <v/>
      </c>
    </row>
    <row r="93" spans="2:3" x14ac:dyDescent="0.3">
      <c r="B93" s="1" t="str">
        <f t="shared" ca="1" si="4"/>
        <v/>
      </c>
      <c r="C93" s="2" t="str">
        <f t="shared" ca="1" si="5"/>
        <v/>
      </c>
    </row>
    <row r="94" spans="2:3" x14ac:dyDescent="0.3">
      <c r="B94" s="1" t="str">
        <f t="shared" ca="1" si="4"/>
        <v/>
      </c>
      <c r="C94" s="2" t="str">
        <f t="shared" ca="1" si="5"/>
        <v/>
      </c>
    </row>
    <row r="95" spans="2:3" x14ac:dyDescent="0.3">
      <c r="B95" s="1" t="str">
        <f t="shared" ca="1" si="4"/>
        <v/>
      </c>
      <c r="C95" s="2" t="str">
        <f t="shared" ca="1" si="5"/>
        <v/>
      </c>
    </row>
    <row r="96" spans="2:3" x14ac:dyDescent="0.3">
      <c r="B96" s="1" t="str">
        <f t="shared" ca="1" si="4"/>
        <v/>
      </c>
      <c r="C96" s="2" t="str">
        <f t="shared" ca="1" si="5"/>
        <v/>
      </c>
    </row>
    <row r="97" spans="2:3" x14ac:dyDescent="0.3">
      <c r="B97" s="1" t="str">
        <f t="shared" ca="1" si="4"/>
        <v/>
      </c>
      <c r="C97" s="2" t="str">
        <f t="shared" ca="1" si="5"/>
        <v/>
      </c>
    </row>
    <row r="98" spans="2:3" x14ac:dyDescent="0.3">
      <c r="B98" s="1" t="str">
        <f t="shared" ca="1" si="4"/>
        <v/>
      </c>
      <c r="C98" s="2" t="str">
        <f t="shared" ca="1" si="5"/>
        <v/>
      </c>
    </row>
    <row r="99" spans="2:3" x14ac:dyDescent="0.3">
      <c r="B99" s="1" t="str">
        <f t="shared" ca="1" si="4"/>
        <v/>
      </c>
      <c r="C99" s="2" t="str">
        <f t="shared" ca="1" si="5"/>
        <v/>
      </c>
    </row>
    <row r="100" spans="2:3" x14ac:dyDescent="0.3">
      <c r="B100" s="1" t="str">
        <f t="shared" ca="1" si="4"/>
        <v/>
      </c>
      <c r="C100" s="2" t="str">
        <f t="shared" ca="1" si="5"/>
        <v/>
      </c>
    </row>
    <row r="101" spans="2:3" x14ac:dyDescent="0.3">
      <c r="B101" s="1" t="str">
        <f t="shared" ca="1" si="4"/>
        <v/>
      </c>
      <c r="C101" s="2" t="str">
        <f t="shared" ca="1" si="5"/>
        <v/>
      </c>
    </row>
  </sheetData>
  <mergeCells count="15">
    <mergeCell ref="N4:R4"/>
    <mergeCell ref="N5:R5"/>
    <mergeCell ref="N6:R6"/>
    <mergeCell ref="N7:R7"/>
    <mergeCell ref="N8:R8"/>
    <mergeCell ref="I4:M4"/>
    <mergeCell ref="I5:M5"/>
    <mergeCell ref="I6:M6"/>
    <mergeCell ref="I7:M7"/>
    <mergeCell ref="I8:M8"/>
    <mergeCell ref="A1:I2"/>
    <mergeCell ref="J1:J2"/>
    <mergeCell ref="K1:M2"/>
    <mergeCell ref="N1:R3"/>
    <mergeCell ref="I3:M3"/>
  </mergeCells>
  <conditionalFormatting sqref="D4:D37 D39:D1048576">
    <cfRule type="duplicateValues" dxfId="79" priority="13"/>
  </conditionalFormatting>
  <conditionalFormatting sqref="D4:D1048576">
    <cfRule type="duplicateValues" dxfId="78" priority="12"/>
  </conditionalFormatting>
  <conditionalFormatting sqref="J1">
    <cfRule type="duplicateValues" dxfId="77" priority="6"/>
  </conditionalFormatting>
  <conditionalFormatting sqref="J1">
    <cfRule type="duplicateValues" dxfId="76" priority="5"/>
  </conditionalFormatting>
  <conditionalFormatting sqref="K1">
    <cfRule type="duplicateValues" dxfId="75" priority="4"/>
  </conditionalFormatting>
  <conditionalFormatting sqref="K1:M2">
    <cfRule type="duplicateValues" dxfId="74" priority="3"/>
  </conditionalFormatting>
  <conditionalFormatting sqref="K1:M2">
    <cfRule type="duplicateValues" dxfId="73" priority="2"/>
  </conditionalFormatting>
  <conditionalFormatting sqref="G16 D4:D8 K1:M2">
    <cfRule type="duplicateValues" dxfId="72" priority="1"/>
  </conditionalFormatting>
  <dataValidations count="1">
    <dataValidation type="list" allowBlank="1" showInputMessage="1" showErrorMessage="1" sqref="H4:H8" xr:uid="{42719DB7-75EA-4ADB-BA5B-75F470E9D55D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101"/>
  <sheetViews>
    <sheetView workbookViewId="0">
      <selection activeCell="D4" sqref="D4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21.6" customHeight="1" thickBot="1" x14ac:dyDescent="0.35">
      <c r="A4" s="19">
        <v>1</v>
      </c>
      <c r="B4" s="10">
        <f ca="1">IF(D4 &lt;&gt;"", IF(C4 ="", NOW(), C4), "")</f>
        <v>44850.413167476851</v>
      </c>
      <c r="C4" s="11">
        <f ca="1">IF(D4 &lt;&gt;"", IF(C4 ="", NOW(), C4), "")</f>
        <v>44850.413167476851</v>
      </c>
      <c r="D4" s="12" t="s">
        <v>489</v>
      </c>
      <c r="E4" s="12"/>
      <c r="F4" s="12"/>
      <c r="G4" s="12"/>
      <c r="H4" s="9"/>
      <c r="I4" s="76"/>
      <c r="J4" s="76"/>
      <c r="K4" s="76"/>
      <c r="L4" s="76"/>
      <c r="M4" s="76"/>
      <c r="N4" s="76"/>
      <c r="O4" s="76"/>
      <c r="P4" s="76"/>
      <c r="Q4" s="76"/>
      <c r="R4" s="78"/>
    </row>
    <row r="5" spans="1:23" x14ac:dyDescent="0.3">
      <c r="B5" s="1" t="str">
        <f t="shared" ref="B5:B53" ca="1" si="0">IF(D5 &lt;&gt;"", IF(C5 ="", NOW(), C5), "")</f>
        <v/>
      </c>
      <c r="C5" s="2" t="str">
        <f t="shared" ref="C5:C53" ca="1" si="1">IF(D5 &lt;&gt;"", IF(C5 ="", NOW(), C5), "")</f>
        <v/>
      </c>
    </row>
    <row r="6" spans="1:23" x14ac:dyDescent="0.3">
      <c r="B6" s="1" t="str">
        <f t="shared" ca="1" si="0"/>
        <v/>
      </c>
      <c r="C6" s="2" t="str">
        <f t="shared" ca="1" si="1"/>
        <v/>
      </c>
    </row>
    <row r="7" spans="1:23" x14ac:dyDescent="0.3">
      <c r="B7" s="1" t="str">
        <f t="shared" ca="1" si="0"/>
        <v/>
      </c>
      <c r="C7" s="2" t="str">
        <f t="shared" ca="1" si="1"/>
        <v/>
      </c>
    </row>
    <row r="8" spans="1:23" x14ac:dyDescent="0.3">
      <c r="B8" s="1" t="str">
        <f t="shared" ca="1" si="0"/>
        <v/>
      </c>
      <c r="C8" s="2" t="str">
        <f t="shared" ca="1" si="1"/>
        <v/>
      </c>
    </row>
    <row r="9" spans="1:23" x14ac:dyDescent="0.3">
      <c r="B9" s="1" t="str">
        <f t="shared" ca="1" si="0"/>
        <v/>
      </c>
      <c r="C9" s="2" t="str">
        <f t="shared" ca="1" si="1"/>
        <v/>
      </c>
    </row>
    <row r="10" spans="1:23" x14ac:dyDescent="0.3">
      <c r="B10" s="1" t="str">
        <f t="shared" ca="1" si="0"/>
        <v/>
      </c>
      <c r="C10" s="2" t="str">
        <f t="shared" ca="1" si="1"/>
        <v/>
      </c>
    </row>
    <row r="11" spans="1:23" x14ac:dyDescent="0.3">
      <c r="B11" s="1" t="str">
        <f t="shared" ca="1" si="0"/>
        <v/>
      </c>
      <c r="C11" s="2" t="str">
        <f t="shared" ca="1" si="1"/>
        <v/>
      </c>
    </row>
    <row r="12" spans="1:23" x14ac:dyDescent="0.3">
      <c r="B12" s="1" t="str">
        <f t="shared" ca="1" si="0"/>
        <v/>
      </c>
      <c r="C12" s="2" t="str">
        <f t="shared" ca="1" si="1"/>
        <v/>
      </c>
    </row>
    <row r="13" spans="1:23" x14ac:dyDescent="0.3">
      <c r="B13" s="1" t="str">
        <f t="shared" ca="1" si="0"/>
        <v/>
      </c>
      <c r="C13" s="2" t="str">
        <f t="shared" ca="1" si="1"/>
        <v/>
      </c>
    </row>
    <row r="14" spans="1:23" x14ac:dyDescent="0.3">
      <c r="B14" s="1" t="str">
        <f t="shared" ca="1" si="0"/>
        <v/>
      </c>
      <c r="C14" s="2" t="str">
        <f t="shared" ca="1" si="1"/>
        <v/>
      </c>
    </row>
    <row r="15" spans="1:23" x14ac:dyDescent="0.3">
      <c r="B15" s="1" t="str">
        <f t="shared" ca="1" si="0"/>
        <v/>
      </c>
      <c r="C15" s="2" t="str">
        <f t="shared" ca="1" si="1"/>
        <v/>
      </c>
    </row>
    <row r="16" spans="1:23" x14ac:dyDescent="0.3">
      <c r="B16" s="1" t="str">
        <f t="shared" ca="1" si="0"/>
        <v/>
      </c>
      <c r="C16" s="2" t="str">
        <f t="shared" ca="1" si="1"/>
        <v/>
      </c>
    </row>
    <row r="17" spans="2:3" x14ac:dyDescent="0.3">
      <c r="B17" s="1" t="str">
        <f t="shared" ca="1" si="0"/>
        <v/>
      </c>
      <c r="C17" s="2" t="str">
        <f t="shared" ca="1" si="1"/>
        <v/>
      </c>
    </row>
    <row r="18" spans="2:3" x14ac:dyDescent="0.3">
      <c r="B18" s="1" t="str">
        <f t="shared" ca="1" si="0"/>
        <v/>
      </c>
      <c r="C18" s="2" t="str">
        <f t="shared" ca="1" si="1"/>
        <v/>
      </c>
    </row>
    <row r="19" spans="2:3" x14ac:dyDescent="0.3">
      <c r="B19" s="1" t="str">
        <f t="shared" ca="1" si="0"/>
        <v/>
      </c>
      <c r="C19" s="2" t="str">
        <f t="shared" ca="1" si="1"/>
        <v/>
      </c>
    </row>
    <row r="20" spans="2:3" x14ac:dyDescent="0.3">
      <c r="B20" s="1" t="str">
        <f t="shared" ca="1" si="0"/>
        <v/>
      </c>
      <c r="C20" s="2" t="str">
        <f t="shared" ca="1" si="1"/>
        <v/>
      </c>
    </row>
    <row r="21" spans="2:3" x14ac:dyDescent="0.3">
      <c r="B21" s="1" t="str">
        <f t="shared" ca="1" si="0"/>
        <v/>
      </c>
      <c r="C21" s="2" t="str">
        <f t="shared" ca="1" si="1"/>
        <v/>
      </c>
    </row>
    <row r="22" spans="2:3" x14ac:dyDescent="0.3">
      <c r="B22" s="1" t="str">
        <f t="shared" ca="1" si="0"/>
        <v/>
      </c>
      <c r="C22" s="2" t="str">
        <f t="shared" ca="1" si="1"/>
        <v/>
      </c>
    </row>
    <row r="23" spans="2:3" x14ac:dyDescent="0.3">
      <c r="B23" s="1" t="str">
        <f t="shared" ca="1" si="0"/>
        <v/>
      </c>
      <c r="C23" s="2" t="str">
        <f t="shared" ca="1" si="1"/>
        <v/>
      </c>
    </row>
    <row r="24" spans="2:3" x14ac:dyDescent="0.3">
      <c r="B24" s="1" t="str">
        <f t="shared" ca="1" si="0"/>
        <v/>
      </c>
      <c r="C24" s="2" t="str">
        <f t="shared" ca="1" si="1"/>
        <v/>
      </c>
    </row>
    <row r="25" spans="2:3" x14ac:dyDescent="0.3">
      <c r="B25" s="1" t="str">
        <f t="shared" ca="1" si="0"/>
        <v/>
      </c>
      <c r="C25" s="2" t="str">
        <f t="shared" ca="1" si="1"/>
        <v/>
      </c>
    </row>
    <row r="26" spans="2:3" x14ac:dyDescent="0.3">
      <c r="B26" s="1" t="str">
        <f t="shared" ca="1" si="0"/>
        <v/>
      </c>
      <c r="C26" s="2" t="str">
        <f t="shared" ca="1" si="1"/>
        <v/>
      </c>
    </row>
    <row r="27" spans="2:3" x14ac:dyDescent="0.3">
      <c r="B27" s="1" t="str">
        <f t="shared" ca="1" si="0"/>
        <v/>
      </c>
      <c r="C27" s="2" t="str">
        <f t="shared" ca="1" si="1"/>
        <v/>
      </c>
    </row>
    <row r="28" spans="2:3" x14ac:dyDescent="0.3">
      <c r="B28" s="1" t="str">
        <f t="shared" ca="1" si="0"/>
        <v/>
      </c>
      <c r="C28" s="2" t="str">
        <f t="shared" ca="1" si="1"/>
        <v/>
      </c>
    </row>
    <row r="29" spans="2:3" x14ac:dyDescent="0.3">
      <c r="B29" s="1" t="str">
        <f t="shared" ca="1" si="0"/>
        <v/>
      </c>
      <c r="C29" s="2" t="str">
        <f t="shared" ca="1" si="1"/>
        <v/>
      </c>
    </row>
    <row r="30" spans="2:3" x14ac:dyDescent="0.3">
      <c r="B30" s="1" t="str">
        <f t="shared" ca="1" si="0"/>
        <v/>
      </c>
      <c r="C30" s="2" t="str">
        <f t="shared" ca="1" si="1"/>
        <v/>
      </c>
    </row>
    <row r="31" spans="2:3" x14ac:dyDescent="0.3">
      <c r="B31" s="1" t="str">
        <f t="shared" ca="1" si="0"/>
        <v/>
      </c>
      <c r="C31" s="2" t="str">
        <f t="shared" ca="1" si="1"/>
        <v/>
      </c>
    </row>
    <row r="32" spans="2:3" x14ac:dyDescent="0.3">
      <c r="B32" s="1" t="str">
        <f t="shared" ca="1" si="0"/>
        <v/>
      </c>
      <c r="C32" s="2" t="str">
        <f t="shared" ca="1" si="1"/>
        <v/>
      </c>
    </row>
    <row r="33" spans="2:3" x14ac:dyDescent="0.3">
      <c r="B33" s="1" t="str">
        <f t="shared" ca="1" si="0"/>
        <v/>
      </c>
      <c r="C33" s="2" t="str">
        <f t="shared" ca="1" si="1"/>
        <v/>
      </c>
    </row>
    <row r="34" spans="2:3" x14ac:dyDescent="0.3">
      <c r="B34" s="1" t="str">
        <f t="shared" ca="1" si="0"/>
        <v/>
      </c>
      <c r="C34" s="2" t="str">
        <f t="shared" ca="1" si="1"/>
        <v/>
      </c>
    </row>
    <row r="35" spans="2:3" x14ac:dyDescent="0.3">
      <c r="B35" s="1" t="str">
        <f t="shared" ca="1" si="0"/>
        <v/>
      </c>
      <c r="C35" s="2" t="str">
        <f t="shared" ca="1" si="1"/>
        <v/>
      </c>
    </row>
    <row r="36" spans="2:3" x14ac:dyDescent="0.3">
      <c r="B36" s="1" t="str">
        <f t="shared" ca="1" si="0"/>
        <v/>
      </c>
      <c r="C36" s="2" t="str">
        <f t="shared" ca="1" si="1"/>
        <v/>
      </c>
    </row>
    <row r="37" spans="2:3" x14ac:dyDescent="0.3">
      <c r="B37" s="1" t="str">
        <f t="shared" ca="1" si="0"/>
        <v/>
      </c>
      <c r="C37" s="2" t="str">
        <f t="shared" ca="1" si="1"/>
        <v/>
      </c>
    </row>
    <row r="38" spans="2:3" x14ac:dyDescent="0.3">
      <c r="B38" s="1" t="str">
        <f t="shared" ca="1" si="0"/>
        <v/>
      </c>
      <c r="C38" s="2" t="str">
        <f t="shared" ca="1" si="1"/>
        <v/>
      </c>
    </row>
    <row r="39" spans="2:3" x14ac:dyDescent="0.3">
      <c r="B39" s="1" t="str">
        <f t="shared" ca="1" si="0"/>
        <v/>
      </c>
      <c r="C39" s="2" t="str">
        <f t="shared" ca="1" si="1"/>
        <v/>
      </c>
    </row>
    <row r="40" spans="2:3" x14ac:dyDescent="0.3">
      <c r="B40" s="1" t="str">
        <f t="shared" ca="1" si="0"/>
        <v/>
      </c>
      <c r="C40" s="2" t="str">
        <f t="shared" ca="1" si="1"/>
        <v/>
      </c>
    </row>
    <row r="41" spans="2:3" x14ac:dyDescent="0.3">
      <c r="B41" s="1" t="str">
        <f t="shared" ca="1" si="0"/>
        <v/>
      </c>
      <c r="C41" s="2" t="str">
        <f t="shared" ca="1" si="1"/>
        <v/>
      </c>
    </row>
    <row r="42" spans="2:3" x14ac:dyDescent="0.3">
      <c r="B42" s="1" t="str">
        <f t="shared" ca="1" si="0"/>
        <v/>
      </c>
      <c r="C42" s="2" t="str">
        <f t="shared" ca="1" si="1"/>
        <v/>
      </c>
    </row>
    <row r="43" spans="2:3" x14ac:dyDescent="0.3">
      <c r="B43" s="1" t="str">
        <f t="shared" ca="1" si="0"/>
        <v/>
      </c>
      <c r="C43" s="2" t="str">
        <f t="shared" ca="1" si="1"/>
        <v/>
      </c>
    </row>
    <row r="44" spans="2:3" x14ac:dyDescent="0.3">
      <c r="B44" s="1" t="str">
        <f t="shared" ca="1" si="0"/>
        <v/>
      </c>
      <c r="C44" s="2" t="str">
        <f t="shared" ca="1" si="1"/>
        <v/>
      </c>
    </row>
    <row r="45" spans="2:3" x14ac:dyDescent="0.3">
      <c r="B45" s="1" t="str">
        <f t="shared" ca="1" si="0"/>
        <v/>
      </c>
      <c r="C45" s="2" t="str">
        <f t="shared" ca="1" si="1"/>
        <v/>
      </c>
    </row>
    <row r="46" spans="2:3" x14ac:dyDescent="0.3">
      <c r="B46" s="1" t="str">
        <f t="shared" ca="1" si="0"/>
        <v/>
      </c>
      <c r="C46" s="2" t="str">
        <f t="shared" ca="1" si="1"/>
        <v/>
      </c>
    </row>
    <row r="47" spans="2:3" x14ac:dyDescent="0.3">
      <c r="B47" s="1" t="str">
        <f t="shared" ca="1" si="0"/>
        <v/>
      </c>
      <c r="C47" s="2" t="str">
        <f t="shared" ca="1" si="1"/>
        <v/>
      </c>
    </row>
    <row r="48" spans="2:3" x14ac:dyDescent="0.3">
      <c r="B48" s="1" t="str">
        <f t="shared" ca="1" si="0"/>
        <v/>
      </c>
      <c r="C48" s="2" t="str">
        <f t="shared" ca="1" si="1"/>
        <v/>
      </c>
    </row>
    <row r="49" spans="2:3" x14ac:dyDescent="0.3">
      <c r="B49" s="1" t="str">
        <f t="shared" ca="1" si="0"/>
        <v/>
      </c>
      <c r="C49" s="2" t="str">
        <f t="shared" ca="1" si="1"/>
        <v/>
      </c>
    </row>
    <row r="50" spans="2:3" x14ac:dyDescent="0.3">
      <c r="B50" s="1" t="str">
        <f t="shared" ca="1" si="0"/>
        <v/>
      </c>
      <c r="C50" s="2" t="str">
        <f t="shared" ca="1" si="1"/>
        <v/>
      </c>
    </row>
    <row r="51" spans="2:3" x14ac:dyDescent="0.3">
      <c r="B51" s="1" t="str">
        <f t="shared" ca="1" si="0"/>
        <v/>
      </c>
      <c r="C51" s="2" t="str">
        <f t="shared" ca="1" si="1"/>
        <v/>
      </c>
    </row>
    <row r="52" spans="2:3" x14ac:dyDescent="0.3">
      <c r="B52" s="1" t="str">
        <f t="shared" ca="1" si="0"/>
        <v/>
      </c>
      <c r="C52" s="2" t="str">
        <f t="shared" ca="1" si="1"/>
        <v/>
      </c>
    </row>
    <row r="53" spans="2:3" x14ac:dyDescent="0.3">
      <c r="B53" s="1" t="str">
        <f t="shared" ca="1" si="0"/>
        <v/>
      </c>
      <c r="C53" s="2" t="str">
        <f t="shared" ca="1" si="1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2">IF(D56 &lt;&gt;"", IF(C56 ="", NOW(), C56), "")</f>
        <v/>
      </c>
      <c r="C56" s="2" t="str">
        <f t="shared" ref="C56:C101" ca="1" si="3">IF(D56 &lt;&gt;"", IF(C56 ="", NOW(), C56), "")</f>
        <v/>
      </c>
    </row>
    <row r="57" spans="2:3" x14ac:dyDescent="0.3">
      <c r="B57" s="1" t="str">
        <f t="shared" ca="1" si="2"/>
        <v/>
      </c>
      <c r="C57" s="2" t="str">
        <f t="shared" ca="1" si="3"/>
        <v/>
      </c>
    </row>
    <row r="58" spans="2:3" x14ac:dyDescent="0.3">
      <c r="B58" s="1" t="str">
        <f t="shared" ca="1" si="2"/>
        <v/>
      </c>
      <c r="C58" s="2" t="str">
        <f t="shared" ca="1" si="3"/>
        <v/>
      </c>
    </row>
    <row r="59" spans="2:3" x14ac:dyDescent="0.3">
      <c r="B59" s="1" t="str">
        <f t="shared" ca="1" si="2"/>
        <v/>
      </c>
      <c r="C59" s="2" t="str">
        <f t="shared" ca="1" si="3"/>
        <v/>
      </c>
    </row>
    <row r="60" spans="2:3" x14ac:dyDescent="0.3">
      <c r="B60" s="1" t="str">
        <f t="shared" ca="1" si="2"/>
        <v/>
      </c>
      <c r="C60" s="2" t="str">
        <f t="shared" ca="1" si="3"/>
        <v/>
      </c>
    </row>
    <row r="61" spans="2:3" x14ac:dyDescent="0.3">
      <c r="B61" s="1" t="str">
        <f t="shared" ca="1" si="2"/>
        <v/>
      </c>
      <c r="C61" s="2" t="str">
        <f t="shared" ca="1" si="3"/>
        <v/>
      </c>
    </row>
    <row r="62" spans="2:3" x14ac:dyDescent="0.3">
      <c r="B62" s="1" t="str">
        <f t="shared" ca="1" si="2"/>
        <v/>
      </c>
      <c r="C62" s="2" t="str">
        <f t="shared" ca="1" si="3"/>
        <v/>
      </c>
    </row>
    <row r="63" spans="2:3" x14ac:dyDescent="0.3">
      <c r="B63" s="1" t="str">
        <f t="shared" ca="1" si="2"/>
        <v/>
      </c>
      <c r="C63" s="2" t="str">
        <f t="shared" ca="1" si="3"/>
        <v/>
      </c>
    </row>
    <row r="64" spans="2:3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ca="1" si="2"/>
        <v/>
      </c>
      <c r="C69" s="2" t="str">
        <f t="shared" ca="1" si="3"/>
        <v/>
      </c>
    </row>
    <row r="70" spans="2:3" x14ac:dyDescent="0.3">
      <c r="B70" s="1" t="str">
        <f t="shared" ca="1" si="2"/>
        <v/>
      </c>
      <c r="C70" s="2" t="str">
        <f t="shared" ca="1" si="3"/>
        <v/>
      </c>
    </row>
    <row r="71" spans="2:3" x14ac:dyDescent="0.3">
      <c r="B71" s="1" t="str">
        <f t="shared" ca="1" si="2"/>
        <v/>
      </c>
      <c r="C71" s="2" t="str">
        <f t="shared" ca="1" si="3"/>
        <v/>
      </c>
    </row>
    <row r="72" spans="2:3" x14ac:dyDescent="0.3">
      <c r="B72" s="1" t="str">
        <f t="shared" ca="1" si="2"/>
        <v/>
      </c>
      <c r="C72" s="2" t="str">
        <f t="shared" ca="1" si="3"/>
        <v/>
      </c>
    </row>
    <row r="73" spans="2:3" x14ac:dyDescent="0.3">
      <c r="B73" s="1" t="str">
        <f t="shared" ca="1" si="2"/>
        <v/>
      </c>
      <c r="C73" s="2" t="str">
        <f t="shared" ca="1" si="3"/>
        <v/>
      </c>
    </row>
    <row r="74" spans="2:3" x14ac:dyDescent="0.3">
      <c r="B74" s="1" t="str">
        <f t="shared" ca="1" si="2"/>
        <v/>
      </c>
      <c r="C74" s="2" t="str">
        <f t="shared" ca="1" si="3"/>
        <v/>
      </c>
    </row>
    <row r="75" spans="2:3" x14ac:dyDescent="0.3">
      <c r="B75" s="1" t="str">
        <f t="shared" ca="1" si="2"/>
        <v/>
      </c>
      <c r="C75" s="2" t="str">
        <f t="shared" ca="1" si="3"/>
        <v/>
      </c>
    </row>
    <row r="76" spans="2:3" x14ac:dyDescent="0.3">
      <c r="B76" s="1" t="str">
        <f t="shared" ca="1" si="2"/>
        <v/>
      </c>
      <c r="C76" s="2" t="str">
        <f t="shared" ca="1" si="3"/>
        <v/>
      </c>
    </row>
    <row r="77" spans="2:3" x14ac:dyDescent="0.3">
      <c r="B77" s="1" t="str">
        <f t="shared" ca="1" si="2"/>
        <v/>
      </c>
      <c r="C77" s="2" t="str">
        <f t="shared" ca="1" si="3"/>
        <v/>
      </c>
    </row>
    <row r="78" spans="2:3" x14ac:dyDescent="0.3">
      <c r="B78" s="1" t="str">
        <f t="shared" ca="1" si="2"/>
        <v/>
      </c>
      <c r="C78" s="2" t="str">
        <f t="shared" ca="1" si="3"/>
        <v/>
      </c>
    </row>
    <row r="79" spans="2:3" x14ac:dyDescent="0.3">
      <c r="B79" s="1" t="str">
        <f t="shared" ca="1" si="2"/>
        <v/>
      </c>
      <c r="C79" s="2" t="str">
        <f t="shared" ca="1" si="3"/>
        <v/>
      </c>
    </row>
    <row r="80" spans="2:3" x14ac:dyDescent="0.3">
      <c r="B80" s="1" t="str">
        <f t="shared" ca="1" si="2"/>
        <v/>
      </c>
      <c r="C80" s="2" t="str">
        <f t="shared" ca="1" si="3"/>
        <v/>
      </c>
    </row>
    <row r="81" spans="2:3" x14ac:dyDescent="0.3">
      <c r="B81" s="1" t="str">
        <f t="shared" ca="1" si="2"/>
        <v/>
      </c>
      <c r="C81" s="2" t="str">
        <f t="shared" ca="1" si="3"/>
        <v/>
      </c>
    </row>
    <row r="82" spans="2:3" x14ac:dyDescent="0.3">
      <c r="B82" s="1" t="str">
        <f t="shared" ca="1" si="2"/>
        <v/>
      </c>
      <c r="C82" s="2" t="str">
        <f t="shared" ca="1" si="3"/>
        <v/>
      </c>
    </row>
    <row r="83" spans="2:3" x14ac:dyDescent="0.3">
      <c r="B83" s="1" t="str">
        <f t="shared" ca="1" si="2"/>
        <v/>
      </c>
      <c r="C83" s="2" t="str">
        <f t="shared" ca="1" si="3"/>
        <v/>
      </c>
    </row>
    <row r="84" spans="2:3" x14ac:dyDescent="0.3">
      <c r="B84" s="1" t="str">
        <f t="shared" ca="1" si="2"/>
        <v/>
      </c>
      <c r="C84" s="2" t="str">
        <f t="shared" ca="1" si="3"/>
        <v/>
      </c>
    </row>
    <row r="85" spans="2:3" x14ac:dyDescent="0.3">
      <c r="B85" s="1" t="str">
        <f t="shared" ca="1" si="2"/>
        <v/>
      </c>
      <c r="C85" s="2" t="str">
        <f t="shared" ca="1" si="3"/>
        <v/>
      </c>
    </row>
    <row r="86" spans="2:3" x14ac:dyDescent="0.3">
      <c r="B86" s="1" t="str">
        <f t="shared" ca="1" si="2"/>
        <v/>
      </c>
      <c r="C86" s="2" t="str">
        <f t="shared" ca="1" si="3"/>
        <v/>
      </c>
    </row>
    <row r="87" spans="2:3" x14ac:dyDescent="0.3">
      <c r="B87" s="1" t="str">
        <f t="shared" ca="1" si="2"/>
        <v/>
      </c>
      <c r="C87" s="2" t="str">
        <f t="shared" ca="1" si="3"/>
        <v/>
      </c>
    </row>
    <row r="88" spans="2:3" x14ac:dyDescent="0.3">
      <c r="B88" s="1" t="str">
        <f t="shared" ca="1" si="2"/>
        <v/>
      </c>
      <c r="C88" s="2" t="str">
        <f t="shared" ca="1" si="3"/>
        <v/>
      </c>
    </row>
    <row r="89" spans="2:3" x14ac:dyDescent="0.3">
      <c r="B89" s="1" t="str">
        <f t="shared" ca="1" si="2"/>
        <v/>
      </c>
      <c r="C89" s="2" t="str">
        <f t="shared" ca="1" si="3"/>
        <v/>
      </c>
    </row>
    <row r="90" spans="2:3" x14ac:dyDescent="0.3">
      <c r="B90" s="1" t="str">
        <f t="shared" ca="1" si="2"/>
        <v/>
      </c>
      <c r="C90" s="2" t="str">
        <f t="shared" ca="1" si="3"/>
        <v/>
      </c>
    </row>
    <row r="91" spans="2:3" x14ac:dyDescent="0.3">
      <c r="B91" s="1" t="str">
        <f t="shared" ca="1" si="2"/>
        <v/>
      </c>
      <c r="C91" s="2" t="str">
        <f t="shared" ca="1" si="3"/>
        <v/>
      </c>
    </row>
    <row r="92" spans="2:3" x14ac:dyDescent="0.3">
      <c r="B92" s="1" t="str">
        <f t="shared" ca="1" si="2"/>
        <v/>
      </c>
      <c r="C92" s="2" t="str">
        <f t="shared" ca="1" si="3"/>
        <v/>
      </c>
    </row>
    <row r="93" spans="2:3" x14ac:dyDescent="0.3">
      <c r="B93" s="1" t="str">
        <f t="shared" ca="1" si="2"/>
        <v/>
      </c>
      <c r="C93" s="2" t="str">
        <f t="shared" ca="1" si="3"/>
        <v/>
      </c>
    </row>
    <row r="94" spans="2:3" x14ac:dyDescent="0.3">
      <c r="B94" s="1" t="str">
        <f t="shared" ca="1" si="2"/>
        <v/>
      </c>
      <c r="C94" s="2" t="str">
        <f t="shared" ca="1" si="3"/>
        <v/>
      </c>
    </row>
    <row r="95" spans="2:3" x14ac:dyDescent="0.3">
      <c r="B95" s="1" t="str">
        <f t="shared" ca="1" si="2"/>
        <v/>
      </c>
      <c r="C95" s="2" t="str">
        <f t="shared" ca="1" si="3"/>
        <v/>
      </c>
    </row>
    <row r="96" spans="2:3" x14ac:dyDescent="0.3">
      <c r="B96" s="1" t="str">
        <f t="shared" ca="1" si="2"/>
        <v/>
      </c>
      <c r="C96" s="2" t="str">
        <f t="shared" ca="1" si="3"/>
        <v/>
      </c>
    </row>
    <row r="97" spans="2:3" x14ac:dyDescent="0.3">
      <c r="B97" s="1" t="str">
        <f t="shared" ca="1" si="2"/>
        <v/>
      </c>
      <c r="C97" s="2" t="str">
        <f t="shared" ca="1" si="3"/>
        <v/>
      </c>
    </row>
    <row r="98" spans="2:3" x14ac:dyDescent="0.3">
      <c r="B98" s="1" t="str">
        <f t="shared" ca="1" si="2"/>
        <v/>
      </c>
      <c r="C98" s="2" t="str">
        <f t="shared" ca="1" si="3"/>
        <v/>
      </c>
    </row>
    <row r="99" spans="2:3" x14ac:dyDescent="0.3">
      <c r="B99" s="1" t="str">
        <f t="shared" ca="1" si="2"/>
        <v/>
      </c>
      <c r="C99" s="2" t="str">
        <f t="shared" ca="1" si="3"/>
        <v/>
      </c>
    </row>
    <row r="100" spans="2:3" x14ac:dyDescent="0.3">
      <c r="B100" s="1" t="str">
        <f t="shared" ca="1" si="2"/>
        <v/>
      </c>
      <c r="C100" s="2" t="str">
        <f t="shared" ca="1" si="3"/>
        <v/>
      </c>
    </row>
    <row r="101" spans="2:3" x14ac:dyDescent="0.3">
      <c r="B101" s="1" t="str">
        <f t="shared" ca="1" si="2"/>
        <v/>
      </c>
      <c r="C101" s="2" t="str">
        <f t="shared" ca="1" si="3"/>
        <v/>
      </c>
    </row>
  </sheetData>
  <mergeCells count="7">
    <mergeCell ref="I4:M4"/>
    <mergeCell ref="N4:R4"/>
    <mergeCell ref="A1:I2"/>
    <mergeCell ref="J1:J2"/>
    <mergeCell ref="K1:M2"/>
    <mergeCell ref="N1:R3"/>
    <mergeCell ref="I3:M3"/>
  </mergeCells>
  <conditionalFormatting sqref="D39:D1048576 D4:D37">
    <cfRule type="duplicateValues" dxfId="71" priority="8"/>
  </conditionalFormatting>
  <conditionalFormatting sqref="D4:D1048576">
    <cfRule type="duplicateValues" dxfId="70" priority="7"/>
  </conditionalFormatting>
  <conditionalFormatting sqref="J1">
    <cfRule type="duplicateValues" dxfId="69" priority="6"/>
  </conditionalFormatting>
  <conditionalFormatting sqref="J1">
    <cfRule type="duplicateValues" dxfId="68" priority="5"/>
  </conditionalFormatting>
  <conditionalFormatting sqref="K1">
    <cfRule type="duplicateValues" dxfId="67" priority="4"/>
  </conditionalFormatting>
  <conditionalFormatting sqref="K1:M2">
    <cfRule type="duplicateValues" dxfId="66" priority="3"/>
  </conditionalFormatting>
  <conditionalFormatting sqref="K1:M2">
    <cfRule type="duplicateValues" dxfId="65" priority="2"/>
  </conditionalFormatting>
  <conditionalFormatting sqref="D4 K1:M2">
    <cfRule type="duplicateValues" dxfId="64" priority="1"/>
  </conditionalFormatting>
  <dataValidations count="1">
    <dataValidation type="list" allowBlank="1" showInputMessage="1" showErrorMessage="1" sqref="H4" xr:uid="{1196E4EA-D4B1-49CC-8495-1F36FDCA22B2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101"/>
  <sheetViews>
    <sheetView workbookViewId="0">
      <selection activeCell="D4" sqref="D4:D5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19.8" customHeight="1" x14ac:dyDescent="0.3">
      <c r="A4" s="18">
        <v>1</v>
      </c>
      <c r="B4" s="7">
        <f ca="1">IF(D4 &lt;&gt;"", IF(C4 ="", NOW(), C4), "")</f>
        <v>44850.413267129632</v>
      </c>
      <c r="C4" s="8">
        <f ca="1">IF(D4 &lt;&gt;"", IF(C4 ="", NOW(), C4), "")</f>
        <v>44850.413267129632</v>
      </c>
      <c r="D4" s="6" t="s">
        <v>490</v>
      </c>
      <c r="E4" s="6"/>
      <c r="F4" s="6"/>
      <c r="G4" s="6"/>
      <c r="H4" s="9"/>
      <c r="I4" s="79"/>
      <c r="J4" s="80"/>
      <c r="K4" s="80"/>
      <c r="L4" s="80"/>
      <c r="M4" s="81"/>
      <c r="N4" s="79"/>
      <c r="O4" s="80"/>
      <c r="P4" s="80"/>
      <c r="Q4" s="80"/>
      <c r="R4" s="85"/>
    </row>
    <row r="5" spans="1:23" ht="19.8" customHeight="1" thickBot="1" x14ac:dyDescent="0.35">
      <c r="A5" s="19">
        <v>2</v>
      </c>
      <c r="B5" s="10">
        <f t="shared" ref="B5:B53" ca="1" si="0">IF(D5 &lt;&gt;"", IF(C5 ="", NOW(), C5), "")</f>
        <v>44850.413314120371</v>
      </c>
      <c r="C5" s="11">
        <f t="shared" ref="C5:C53" ca="1" si="1">IF(D5 &lt;&gt;"", IF(C5 ="", NOW(), C5), "")</f>
        <v>44850.413314120371</v>
      </c>
      <c r="D5" s="12" t="s">
        <v>491</v>
      </c>
      <c r="E5" s="12"/>
      <c r="F5" s="12"/>
      <c r="G5" s="12"/>
      <c r="H5" s="9"/>
      <c r="I5" s="82"/>
      <c r="J5" s="83"/>
      <c r="K5" s="83"/>
      <c r="L5" s="83"/>
      <c r="M5" s="84"/>
      <c r="N5" s="82"/>
      <c r="O5" s="83"/>
      <c r="P5" s="83"/>
      <c r="Q5" s="83"/>
      <c r="R5" s="86"/>
    </row>
    <row r="6" spans="1:23" x14ac:dyDescent="0.3">
      <c r="B6" s="1" t="str">
        <f t="shared" ca="1" si="0"/>
        <v/>
      </c>
      <c r="C6" s="2" t="str">
        <f t="shared" ca="1" si="1"/>
        <v/>
      </c>
    </row>
    <row r="7" spans="1:23" x14ac:dyDescent="0.3">
      <c r="B7" s="1" t="str">
        <f t="shared" ca="1" si="0"/>
        <v/>
      </c>
      <c r="C7" s="2" t="str">
        <f t="shared" ca="1" si="1"/>
        <v/>
      </c>
    </row>
    <row r="8" spans="1:23" x14ac:dyDescent="0.3">
      <c r="B8" s="1" t="str">
        <f t="shared" ca="1" si="0"/>
        <v/>
      </c>
      <c r="C8" s="2" t="str">
        <f t="shared" ca="1" si="1"/>
        <v/>
      </c>
    </row>
    <row r="9" spans="1:23" x14ac:dyDescent="0.3">
      <c r="B9" s="1" t="str">
        <f t="shared" ca="1" si="0"/>
        <v/>
      </c>
      <c r="C9" s="2" t="str">
        <f t="shared" ca="1" si="1"/>
        <v/>
      </c>
    </row>
    <row r="10" spans="1:23" x14ac:dyDescent="0.3">
      <c r="B10" s="1" t="str">
        <f t="shared" ca="1" si="0"/>
        <v/>
      </c>
      <c r="C10" s="2" t="str">
        <f t="shared" ca="1" si="1"/>
        <v/>
      </c>
    </row>
    <row r="11" spans="1:23" x14ac:dyDescent="0.3">
      <c r="B11" s="1" t="str">
        <f t="shared" ca="1" si="0"/>
        <v/>
      </c>
      <c r="C11" s="2" t="str">
        <f t="shared" ca="1" si="1"/>
        <v/>
      </c>
    </row>
    <row r="12" spans="1:23" x14ac:dyDescent="0.3">
      <c r="B12" s="1" t="str">
        <f t="shared" ca="1" si="0"/>
        <v/>
      </c>
      <c r="C12" s="2" t="str">
        <f t="shared" ca="1" si="1"/>
        <v/>
      </c>
    </row>
    <row r="13" spans="1:23" x14ac:dyDescent="0.3">
      <c r="B13" s="1" t="str">
        <f t="shared" ca="1" si="0"/>
        <v/>
      </c>
      <c r="C13" s="2" t="str">
        <f t="shared" ca="1" si="1"/>
        <v/>
      </c>
    </row>
    <row r="14" spans="1:23" x14ac:dyDescent="0.3">
      <c r="B14" s="1" t="str">
        <f t="shared" ca="1" si="0"/>
        <v/>
      </c>
      <c r="C14" s="2" t="str">
        <f t="shared" ca="1" si="1"/>
        <v/>
      </c>
    </row>
    <row r="15" spans="1:23" x14ac:dyDescent="0.3">
      <c r="B15" s="1" t="str">
        <f t="shared" ca="1" si="0"/>
        <v/>
      </c>
      <c r="C15" s="2" t="str">
        <f t="shared" ca="1" si="1"/>
        <v/>
      </c>
    </row>
    <row r="16" spans="1:23" x14ac:dyDescent="0.3">
      <c r="B16" s="1" t="str">
        <f t="shared" ca="1" si="0"/>
        <v/>
      </c>
      <c r="C16" s="2" t="str">
        <f t="shared" ca="1" si="1"/>
        <v/>
      </c>
    </row>
    <row r="17" spans="2:3" x14ac:dyDescent="0.3">
      <c r="B17" s="1" t="str">
        <f t="shared" ca="1" si="0"/>
        <v/>
      </c>
      <c r="C17" s="2" t="str">
        <f t="shared" ca="1" si="1"/>
        <v/>
      </c>
    </row>
    <row r="18" spans="2:3" x14ac:dyDescent="0.3">
      <c r="B18" s="1" t="str">
        <f t="shared" ca="1" si="0"/>
        <v/>
      </c>
      <c r="C18" s="2" t="str">
        <f t="shared" ca="1" si="1"/>
        <v/>
      </c>
    </row>
    <row r="19" spans="2:3" x14ac:dyDescent="0.3">
      <c r="B19" s="1" t="str">
        <f t="shared" ca="1" si="0"/>
        <v/>
      </c>
      <c r="C19" s="2" t="str">
        <f t="shared" ca="1" si="1"/>
        <v/>
      </c>
    </row>
    <row r="20" spans="2:3" x14ac:dyDescent="0.3">
      <c r="B20" s="1" t="str">
        <f t="shared" ca="1" si="0"/>
        <v/>
      </c>
      <c r="C20" s="2" t="str">
        <f t="shared" ca="1" si="1"/>
        <v/>
      </c>
    </row>
    <row r="21" spans="2:3" x14ac:dyDescent="0.3">
      <c r="B21" s="1" t="str">
        <f t="shared" ca="1" si="0"/>
        <v/>
      </c>
      <c r="C21" s="2" t="str">
        <f t="shared" ca="1" si="1"/>
        <v/>
      </c>
    </row>
    <row r="22" spans="2:3" x14ac:dyDescent="0.3">
      <c r="B22" s="1" t="str">
        <f t="shared" ca="1" si="0"/>
        <v/>
      </c>
      <c r="C22" s="2" t="str">
        <f t="shared" ca="1" si="1"/>
        <v/>
      </c>
    </row>
    <row r="23" spans="2:3" x14ac:dyDescent="0.3">
      <c r="B23" s="1" t="str">
        <f t="shared" ca="1" si="0"/>
        <v/>
      </c>
      <c r="C23" s="2" t="str">
        <f t="shared" ca="1" si="1"/>
        <v/>
      </c>
    </row>
    <row r="24" spans="2:3" x14ac:dyDescent="0.3">
      <c r="B24" s="1" t="str">
        <f t="shared" ca="1" si="0"/>
        <v/>
      </c>
      <c r="C24" s="2" t="str">
        <f t="shared" ca="1" si="1"/>
        <v/>
      </c>
    </row>
    <row r="25" spans="2:3" x14ac:dyDescent="0.3">
      <c r="B25" s="1" t="str">
        <f t="shared" ca="1" si="0"/>
        <v/>
      </c>
      <c r="C25" s="2" t="str">
        <f t="shared" ca="1" si="1"/>
        <v/>
      </c>
    </row>
    <row r="26" spans="2:3" x14ac:dyDescent="0.3">
      <c r="B26" s="1" t="str">
        <f t="shared" ca="1" si="0"/>
        <v/>
      </c>
      <c r="C26" s="2" t="str">
        <f t="shared" ca="1" si="1"/>
        <v/>
      </c>
    </row>
    <row r="27" spans="2:3" x14ac:dyDescent="0.3">
      <c r="B27" s="1" t="str">
        <f t="shared" ca="1" si="0"/>
        <v/>
      </c>
      <c r="C27" s="2" t="str">
        <f t="shared" ca="1" si="1"/>
        <v/>
      </c>
    </row>
    <row r="28" spans="2:3" x14ac:dyDescent="0.3">
      <c r="B28" s="1" t="str">
        <f t="shared" ca="1" si="0"/>
        <v/>
      </c>
      <c r="C28" s="2" t="str">
        <f t="shared" ca="1" si="1"/>
        <v/>
      </c>
    </row>
    <row r="29" spans="2:3" x14ac:dyDescent="0.3">
      <c r="B29" s="1" t="str">
        <f t="shared" ca="1" si="0"/>
        <v/>
      </c>
      <c r="C29" s="2" t="str">
        <f t="shared" ca="1" si="1"/>
        <v/>
      </c>
    </row>
    <row r="30" spans="2:3" x14ac:dyDescent="0.3">
      <c r="B30" s="1" t="str">
        <f t="shared" ca="1" si="0"/>
        <v/>
      </c>
      <c r="C30" s="2" t="str">
        <f t="shared" ca="1" si="1"/>
        <v/>
      </c>
    </row>
    <row r="31" spans="2:3" x14ac:dyDescent="0.3">
      <c r="B31" s="1" t="str">
        <f t="shared" ca="1" si="0"/>
        <v/>
      </c>
      <c r="C31" s="2" t="str">
        <f t="shared" ca="1" si="1"/>
        <v/>
      </c>
    </row>
    <row r="32" spans="2:3" x14ac:dyDescent="0.3">
      <c r="B32" s="1" t="str">
        <f t="shared" ca="1" si="0"/>
        <v/>
      </c>
      <c r="C32" s="2" t="str">
        <f t="shared" ca="1" si="1"/>
        <v/>
      </c>
    </row>
    <row r="33" spans="2:3" x14ac:dyDescent="0.3">
      <c r="B33" s="1" t="str">
        <f t="shared" ca="1" si="0"/>
        <v/>
      </c>
      <c r="C33" s="2" t="str">
        <f t="shared" ca="1" si="1"/>
        <v/>
      </c>
    </row>
    <row r="34" spans="2:3" x14ac:dyDescent="0.3">
      <c r="B34" s="1" t="str">
        <f t="shared" ca="1" si="0"/>
        <v/>
      </c>
      <c r="C34" s="2" t="str">
        <f t="shared" ca="1" si="1"/>
        <v/>
      </c>
    </row>
    <row r="35" spans="2:3" x14ac:dyDescent="0.3">
      <c r="B35" s="1" t="str">
        <f t="shared" ca="1" si="0"/>
        <v/>
      </c>
      <c r="C35" s="2" t="str">
        <f t="shared" ca="1" si="1"/>
        <v/>
      </c>
    </row>
    <row r="36" spans="2:3" x14ac:dyDescent="0.3">
      <c r="B36" s="1" t="str">
        <f t="shared" ca="1" si="0"/>
        <v/>
      </c>
      <c r="C36" s="2" t="str">
        <f t="shared" ca="1" si="1"/>
        <v/>
      </c>
    </row>
    <row r="37" spans="2:3" x14ac:dyDescent="0.3">
      <c r="B37" s="1" t="str">
        <f t="shared" ca="1" si="0"/>
        <v/>
      </c>
      <c r="C37" s="2" t="str">
        <f t="shared" ca="1" si="1"/>
        <v/>
      </c>
    </row>
    <row r="38" spans="2:3" x14ac:dyDescent="0.3">
      <c r="B38" s="1" t="str">
        <f t="shared" ca="1" si="0"/>
        <v/>
      </c>
      <c r="C38" s="2" t="str">
        <f t="shared" ca="1" si="1"/>
        <v/>
      </c>
    </row>
    <row r="39" spans="2:3" x14ac:dyDescent="0.3">
      <c r="B39" s="1" t="str">
        <f t="shared" ca="1" si="0"/>
        <v/>
      </c>
      <c r="C39" s="2" t="str">
        <f t="shared" ca="1" si="1"/>
        <v/>
      </c>
    </row>
    <row r="40" spans="2:3" x14ac:dyDescent="0.3">
      <c r="B40" s="1" t="str">
        <f t="shared" ca="1" si="0"/>
        <v/>
      </c>
      <c r="C40" s="2" t="str">
        <f t="shared" ca="1" si="1"/>
        <v/>
      </c>
    </row>
    <row r="41" spans="2:3" x14ac:dyDescent="0.3">
      <c r="B41" s="1" t="str">
        <f t="shared" ca="1" si="0"/>
        <v/>
      </c>
      <c r="C41" s="2" t="str">
        <f t="shared" ca="1" si="1"/>
        <v/>
      </c>
    </row>
    <row r="42" spans="2:3" x14ac:dyDescent="0.3">
      <c r="B42" s="1" t="str">
        <f t="shared" ca="1" si="0"/>
        <v/>
      </c>
      <c r="C42" s="2" t="str">
        <f t="shared" ca="1" si="1"/>
        <v/>
      </c>
    </row>
    <row r="43" spans="2:3" x14ac:dyDescent="0.3">
      <c r="B43" s="1" t="str">
        <f t="shared" ca="1" si="0"/>
        <v/>
      </c>
      <c r="C43" s="2" t="str">
        <f t="shared" ca="1" si="1"/>
        <v/>
      </c>
    </row>
    <row r="44" spans="2:3" x14ac:dyDescent="0.3">
      <c r="B44" s="1" t="str">
        <f t="shared" ca="1" si="0"/>
        <v/>
      </c>
      <c r="C44" s="2" t="str">
        <f t="shared" ca="1" si="1"/>
        <v/>
      </c>
    </row>
    <row r="45" spans="2:3" x14ac:dyDescent="0.3">
      <c r="B45" s="1" t="str">
        <f t="shared" ca="1" si="0"/>
        <v/>
      </c>
      <c r="C45" s="2" t="str">
        <f t="shared" ca="1" si="1"/>
        <v/>
      </c>
    </row>
    <row r="46" spans="2:3" x14ac:dyDescent="0.3">
      <c r="B46" s="1" t="str">
        <f t="shared" ca="1" si="0"/>
        <v/>
      </c>
      <c r="C46" s="2" t="str">
        <f t="shared" ca="1" si="1"/>
        <v/>
      </c>
    </row>
    <row r="47" spans="2:3" x14ac:dyDescent="0.3">
      <c r="B47" s="1" t="str">
        <f t="shared" ca="1" si="0"/>
        <v/>
      </c>
      <c r="C47" s="2" t="str">
        <f t="shared" ca="1" si="1"/>
        <v/>
      </c>
    </row>
    <row r="48" spans="2:3" x14ac:dyDescent="0.3">
      <c r="B48" s="1" t="str">
        <f t="shared" ca="1" si="0"/>
        <v/>
      </c>
      <c r="C48" s="2" t="str">
        <f t="shared" ca="1" si="1"/>
        <v/>
      </c>
    </row>
    <row r="49" spans="2:3" x14ac:dyDescent="0.3">
      <c r="B49" s="1" t="str">
        <f t="shared" ca="1" si="0"/>
        <v/>
      </c>
      <c r="C49" s="2" t="str">
        <f t="shared" ca="1" si="1"/>
        <v/>
      </c>
    </row>
    <row r="50" spans="2:3" x14ac:dyDescent="0.3">
      <c r="B50" s="1" t="str">
        <f t="shared" ca="1" si="0"/>
        <v/>
      </c>
      <c r="C50" s="2" t="str">
        <f t="shared" ca="1" si="1"/>
        <v/>
      </c>
    </row>
    <row r="51" spans="2:3" x14ac:dyDescent="0.3">
      <c r="B51" s="1" t="str">
        <f t="shared" ca="1" si="0"/>
        <v/>
      </c>
      <c r="C51" s="2" t="str">
        <f t="shared" ca="1" si="1"/>
        <v/>
      </c>
    </row>
    <row r="52" spans="2:3" x14ac:dyDescent="0.3">
      <c r="B52" s="1" t="str">
        <f t="shared" ca="1" si="0"/>
        <v/>
      </c>
      <c r="C52" s="2" t="str">
        <f t="shared" ca="1" si="1"/>
        <v/>
      </c>
    </row>
    <row r="53" spans="2:3" x14ac:dyDescent="0.3">
      <c r="B53" s="1" t="str">
        <f t="shared" ca="1" si="0"/>
        <v/>
      </c>
      <c r="C53" s="2" t="str">
        <f t="shared" ca="1" si="1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2">IF(D56 &lt;&gt;"", IF(C56 ="", NOW(), C56), "")</f>
        <v/>
      </c>
      <c r="C56" s="2" t="str">
        <f t="shared" ref="C56:C101" ca="1" si="3">IF(D56 &lt;&gt;"", IF(C56 ="", NOW(), C56), "")</f>
        <v/>
      </c>
    </row>
    <row r="57" spans="2:3" x14ac:dyDescent="0.3">
      <c r="B57" s="1" t="str">
        <f t="shared" ca="1" si="2"/>
        <v/>
      </c>
      <c r="C57" s="2" t="str">
        <f t="shared" ca="1" si="3"/>
        <v/>
      </c>
    </row>
    <row r="58" spans="2:3" x14ac:dyDescent="0.3">
      <c r="B58" s="1" t="str">
        <f t="shared" ca="1" si="2"/>
        <v/>
      </c>
      <c r="C58" s="2" t="str">
        <f t="shared" ca="1" si="3"/>
        <v/>
      </c>
    </row>
    <row r="59" spans="2:3" x14ac:dyDescent="0.3">
      <c r="B59" s="1" t="str">
        <f t="shared" ca="1" si="2"/>
        <v/>
      </c>
      <c r="C59" s="2" t="str">
        <f t="shared" ca="1" si="3"/>
        <v/>
      </c>
    </row>
    <row r="60" spans="2:3" x14ac:dyDescent="0.3">
      <c r="B60" s="1" t="str">
        <f t="shared" ca="1" si="2"/>
        <v/>
      </c>
      <c r="C60" s="2" t="str">
        <f t="shared" ca="1" si="3"/>
        <v/>
      </c>
    </row>
    <row r="61" spans="2:3" x14ac:dyDescent="0.3">
      <c r="B61" s="1" t="str">
        <f t="shared" ca="1" si="2"/>
        <v/>
      </c>
      <c r="C61" s="2" t="str">
        <f t="shared" ca="1" si="3"/>
        <v/>
      </c>
    </row>
    <row r="62" spans="2:3" x14ac:dyDescent="0.3">
      <c r="B62" s="1" t="str">
        <f t="shared" ca="1" si="2"/>
        <v/>
      </c>
      <c r="C62" s="2" t="str">
        <f t="shared" ca="1" si="3"/>
        <v/>
      </c>
    </row>
    <row r="63" spans="2:3" x14ac:dyDescent="0.3">
      <c r="B63" s="1" t="str">
        <f t="shared" ca="1" si="2"/>
        <v/>
      </c>
      <c r="C63" s="2" t="str">
        <f t="shared" ca="1" si="3"/>
        <v/>
      </c>
    </row>
    <row r="64" spans="2:3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ca="1" si="2"/>
        <v/>
      </c>
      <c r="C69" s="2" t="str">
        <f t="shared" ca="1" si="3"/>
        <v/>
      </c>
    </row>
    <row r="70" spans="2:3" x14ac:dyDescent="0.3">
      <c r="B70" s="1" t="str">
        <f t="shared" ca="1" si="2"/>
        <v/>
      </c>
      <c r="C70" s="2" t="str">
        <f t="shared" ca="1" si="3"/>
        <v/>
      </c>
    </row>
    <row r="71" spans="2:3" x14ac:dyDescent="0.3">
      <c r="B71" s="1" t="str">
        <f t="shared" ca="1" si="2"/>
        <v/>
      </c>
      <c r="C71" s="2" t="str">
        <f t="shared" ca="1" si="3"/>
        <v/>
      </c>
    </row>
    <row r="72" spans="2:3" x14ac:dyDescent="0.3">
      <c r="B72" s="1" t="str">
        <f t="shared" ca="1" si="2"/>
        <v/>
      </c>
      <c r="C72" s="2" t="str">
        <f t="shared" ca="1" si="3"/>
        <v/>
      </c>
    </row>
    <row r="73" spans="2:3" x14ac:dyDescent="0.3">
      <c r="B73" s="1" t="str">
        <f t="shared" ca="1" si="2"/>
        <v/>
      </c>
      <c r="C73" s="2" t="str">
        <f t="shared" ca="1" si="3"/>
        <v/>
      </c>
    </row>
    <row r="74" spans="2:3" x14ac:dyDescent="0.3">
      <c r="B74" s="1" t="str">
        <f t="shared" ca="1" si="2"/>
        <v/>
      </c>
      <c r="C74" s="2" t="str">
        <f t="shared" ca="1" si="3"/>
        <v/>
      </c>
    </row>
    <row r="75" spans="2:3" x14ac:dyDescent="0.3">
      <c r="B75" s="1" t="str">
        <f t="shared" ca="1" si="2"/>
        <v/>
      </c>
      <c r="C75" s="2" t="str">
        <f t="shared" ca="1" si="3"/>
        <v/>
      </c>
    </row>
    <row r="76" spans="2:3" x14ac:dyDescent="0.3">
      <c r="B76" s="1" t="str">
        <f t="shared" ca="1" si="2"/>
        <v/>
      </c>
      <c r="C76" s="2" t="str">
        <f t="shared" ca="1" si="3"/>
        <v/>
      </c>
    </row>
    <row r="77" spans="2:3" x14ac:dyDescent="0.3">
      <c r="B77" s="1" t="str">
        <f t="shared" ca="1" si="2"/>
        <v/>
      </c>
      <c r="C77" s="2" t="str">
        <f t="shared" ca="1" si="3"/>
        <v/>
      </c>
    </row>
    <row r="78" spans="2:3" x14ac:dyDescent="0.3">
      <c r="B78" s="1" t="str">
        <f t="shared" ca="1" si="2"/>
        <v/>
      </c>
      <c r="C78" s="2" t="str">
        <f t="shared" ca="1" si="3"/>
        <v/>
      </c>
    </row>
    <row r="79" spans="2:3" x14ac:dyDescent="0.3">
      <c r="B79" s="1" t="str">
        <f t="shared" ca="1" si="2"/>
        <v/>
      </c>
      <c r="C79" s="2" t="str">
        <f t="shared" ca="1" si="3"/>
        <v/>
      </c>
    </row>
    <row r="80" spans="2:3" x14ac:dyDescent="0.3">
      <c r="B80" s="1" t="str">
        <f t="shared" ca="1" si="2"/>
        <v/>
      </c>
      <c r="C80" s="2" t="str">
        <f t="shared" ca="1" si="3"/>
        <v/>
      </c>
    </row>
    <row r="81" spans="2:3" x14ac:dyDescent="0.3">
      <c r="B81" s="1" t="str">
        <f t="shared" ca="1" si="2"/>
        <v/>
      </c>
      <c r="C81" s="2" t="str">
        <f t="shared" ca="1" si="3"/>
        <v/>
      </c>
    </row>
    <row r="82" spans="2:3" x14ac:dyDescent="0.3">
      <c r="B82" s="1" t="str">
        <f t="shared" ca="1" si="2"/>
        <v/>
      </c>
      <c r="C82" s="2" t="str">
        <f t="shared" ca="1" si="3"/>
        <v/>
      </c>
    </row>
    <row r="83" spans="2:3" x14ac:dyDescent="0.3">
      <c r="B83" s="1" t="str">
        <f t="shared" ca="1" si="2"/>
        <v/>
      </c>
      <c r="C83" s="2" t="str">
        <f t="shared" ca="1" si="3"/>
        <v/>
      </c>
    </row>
    <row r="84" spans="2:3" x14ac:dyDescent="0.3">
      <c r="B84" s="1" t="str">
        <f t="shared" ca="1" si="2"/>
        <v/>
      </c>
      <c r="C84" s="2" t="str">
        <f t="shared" ca="1" si="3"/>
        <v/>
      </c>
    </row>
    <row r="85" spans="2:3" x14ac:dyDescent="0.3">
      <c r="B85" s="1" t="str">
        <f t="shared" ca="1" si="2"/>
        <v/>
      </c>
      <c r="C85" s="2" t="str">
        <f t="shared" ca="1" si="3"/>
        <v/>
      </c>
    </row>
    <row r="86" spans="2:3" x14ac:dyDescent="0.3">
      <c r="B86" s="1" t="str">
        <f t="shared" ca="1" si="2"/>
        <v/>
      </c>
      <c r="C86" s="2" t="str">
        <f t="shared" ca="1" si="3"/>
        <v/>
      </c>
    </row>
    <row r="87" spans="2:3" x14ac:dyDescent="0.3">
      <c r="B87" s="1" t="str">
        <f t="shared" ca="1" si="2"/>
        <v/>
      </c>
      <c r="C87" s="2" t="str">
        <f t="shared" ca="1" si="3"/>
        <v/>
      </c>
    </row>
    <row r="88" spans="2:3" x14ac:dyDescent="0.3">
      <c r="B88" s="1" t="str">
        <f t="shared" ca="1" si="2"/>
        <v/>
      </c>
      <c r="C88" s="2" t="str">
        <f t="shared" ca="1" si="3"/>
        <v/>
      </c>
    </row>
    <row r="89" spans="2:3" x14ac:dyDescent="0.3">
      <c r="B89" s="1" t="str">
        <f t="shared" ca="1" si="2"/>
        <v/>
      </c>
      <c r="C89" s="2" t="str">
        <f t="shared" ca="1" si="3"/>
        <v/>
      </c>
    </row>
    <row r="90" spans="2:3" x14ac:dyDescent="0.3">
      <c r="B90" s="1" t="str">
        <f t="shared" ca="1" si="2"/>
        <v/>
      </c>
      <c r="C90" s="2" t="str">
        <f t="shared" ca="1" si="3"/>
        <v/>
      </c>
    </row>
    <row r="91" spans="2:3" x14ac:dyDescent="0.3">
      <c r="B91" s="1" t="str">
        <f t="shared" ca="1" si="2"/>
        <v/>
      </c>
      <c r="C91" s="2" t="str">
        <f t="shared" ca="1" si="3"/>
        <v/>
      </c>
    </row>
    <row r="92" spans="2:3" x14ac:dyDescent="0.3">
      <c r="B92" s="1" t="str">
        <f t="shared" ca="1" si="2"/>
        <v/>
      </c>
      <c r="C92" s="2" t="str">
        <f t="shared" ca="1" si="3"/>
        <v/>
      </c>
    </row>
    <row r="93" spans="2:3" x14ac:dyDescent="0.3">
      <c r="B93" s="1" t="str">
        <f t="shared" ca="1" si="2"/>
        <v/>
      </c>
      <c r="C93" s="2" t="str">
        <f t="shared" ca="1" si="3"/>
        <v/>
      </c>
    </row>
    <row r="94" spans="2:3" x14ac:dyDescent="0.3">
      <c r="B94" s="1" t="str">
        <f t="shared" ca="1" si="2"/>
        <v/>
      </c>
      <c r="C94" s="2" t="str">
        <f t="shared" ca="1" si="3"/>
        <v/>
      </c>
    </row>
    <row r="95" spans="2:3" x14ac:dyDescent="0.3">
      <c r="B95" s="1" t="str">
        <f t="shared" ca="1" si="2"/>
        <v/>
      </c>
      <c r="C95" s="2" t="str">
        <f t="shared" ca="1" si="3"/>
        <v/>
      </c>
    </row>
    <row r="96" spans="2:3" x14ac:dyDescent="0.3">
      <c r="B96" s="1" t="str">
        <f t="shared" ca="1" si="2"/>
        <v/>
      </c>
      <c r="C96" s="2" t="str">
        <f t="shared" ca="1" si="3"/>
        <v/>
      </c>
    </row>
    <row r="97" spans="2:3" x14ac:dyDescent="0.3">
      <c r="B97" s="1" t="str">
        <f t="shared" ca="1" si="2"/>
        <v/>
      </c>
      <c r="C97" s="2" t="str">
        <f t="shared" ca="1" si="3"/>
        <v/>
      </c>
    </row>
    <row r="98" spans="2:3" x14ac:dyDescent="0.3">
      <c r="B98" s="1" t="str">
        <f t="shared" ca="1" si="2"/>
        <v/>
      </c>
      <c r="C98" s="2" t="str">
        <f t="shared" ca="1" si="3"/>
        <v/>
      </c>
    </row>
    <row r="99" spans="2:3" x14ac:dyDescent="0.3">
      <c r="B99" s="1" t="str">
        <f t="shared" ca="1" si="2"/>
        <v/>
      </c>
      <c r="C99" s="2" t="str">
        <f t="shared" ca="1" si="3"/>
        <v/>
      </c>
    </row>
    <row r="100" spans="2:3" x14ac:dyDescent="0.3">
      <c r="B100" s="1" t="str">
        <f t="shared" ca="1" si="2"/>
        <v/>
      </c>
      <c r="C100" s="2" t="str">
        <f t="shared" ca="1" si="3"/>
        <v/>
      </c>
    </row>
    <row r="101" spans="2:3" x14ac:dyDescent="0.3">
      <c r="B101" s="1" t="str">
        <f t="shared" ca="1" si="2"/>
        <v/>
      </c>
      <c r="C101" s="2" t="str">
        <f t="shared" ca="1" si="3"/>
        <v/>
      </c>
    </row>
  </sheetData>
  <mergeCells count="9">
    <mergeCell ref="I4:M4"/>
    <mergeCell ref="I5:M5"/>
    <mergeCell ref="N4:R4"/>
    <mergeCell ref="N5:R5"/>
    <mergeCell ref="A1:I2"/>
    <mergeCell ref="J1:J2"/>
    <mergeCell ref="K1:M2"/>
    <mergeCell ref="N1:R3"/>
    <mergeCell ref="I3:M3"/>
  </mergeCells>
  <conditionalFormatting sqref="D39:D1048576 D4:D37">
    <cfRule type="duplicateValues" dxfId="63" priority="8"/>
  </conditionalFormatting>
  <conditionalFormatting sqref="D4:D1048576">
    <cfRule type="duplicateValues" dxfId="62" priority="7"/>
  </conditionalFormatting>
  <conditionalFormatting sqref="J1">
    <cfRule type="duplicateValues" dxfId="61" priority="6"/>
  </conditionalFormatting>
  <conditionalFormatting sqref="J1">
    <cfRule type="duplicateValues" dxfId="60" priority="5"/>
  </conditionalFormatting>
  <conditionalFormatting sqref="K1">
    <cfRule type="duplicateValues" dxfId="59" priority="4"/>
  </conditionalFormatting>
  <conditionalFormatting sqref="K1:M2">
    <cfRule type="duplicateValues" dxfId="58" priority="3"/>
  </conditionalFormatting>
  <conditionalFormatting sqref="K1:M2">
    <cfRule type="duplicateValues" dxfId="57" priority="2"/>
  </conditionalFormatting>
  <conditionalFormatting sqref="K1:M2 D4:D5">
    <cfRule type="duplicateValues" dxfId="56" priority="1"/>
  </conditionalFormatting>
  <dataValidations count="1">
    <dataValidation type="list" allowBlank="1" showInputMessage="1" showErrorMessage="1" sqref="H4:H5" xr:uid="{130DC1FA-3C70-48BD-8116-2B0D2F73AD22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W101"/>
  <sheetViews>
    <sheetView workbookViewId="0">
      <selection activeCell="H7" sqref="H7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20.399999999999999" customHeight="1" x14ac:dyDescent="0.3">
      <c r="A4" s="18">
        <v>1</v>
      </c>
      <c r="B4" s="7">
        <f ca="1">IF(D4 &lt;&gt;"", IF(C4 ="", NOW(), C4), "")</f>
        <v>44850.430136111114</v>
      </c>
      <c r="C4" s="8">
        <f ca="1">IF(D4 &lt;&gt;"", IF(C4 ="", NOW(), C4), "")</f>
        <v>44850.430136111114</v>
      </c>
      <c r="D4" s="6" t="s">
        <v>493</v>
      </c>
      <c r="E4" s="6"/>
      <c r="F4" s="6"/>
      <c r="G4" s="6"/>
      <c r="H4" s="9"/>
      <c r="I4" s="75"/>
      <c r="J4" s="75"/>
      <c r="K4" s="75"/>
      <c r="L4" s="75"/>
      <c r="M4" s="75"/>
      <c r="N4" s="75"/>
      <c r="O4" s="75"/>
      <c r="P4" s="75"/>
      <c r="Q4" s="75"/>
      <c r="R4" s="22" t="s">
        <v>563</v>
      </c>
    </row>
    <row r="5" spans="1:23" ht="20.399999999999999" customHeight="1" x14ac:dyDescent="0.3">
      <c r="A5" s="18">
        <v>2</v>
      </c>
      <c r="B5" s="7">
        <f t="shared" ref="B5:B53" ca="1" si="0">IF(D5 &lt;&gt;"", IF(C5 ="", NOW(), C5), "")</f>
        <v>44850.430166782404</v>
      </c>
      <c r="C5" s="8">
        <f t="shared" ref="C5:C53" ca="1" si="1">IF(D5 &lt;&gt;"", IF(C5 ="", NOW(), C5), "")</f>
        <v>44850.430166782404</v>
      </c>
      <c r="D5" s="6" t="s">
        <v>496</v>
      </c>
      <c r="E5" s="6"/>
      <c r="F5" s="6"/>
      <c r="G5" s="6"/>
      <c r="H5" s="9"/>
      <c r="I5" s="75"/>
      <c r="J5" s="75"/>
      <c r="K5" s="75"/>
      <c r="L5" s="75"/>
      <c r="M5" s="75"/>
      <c r="N5" s="75"/>
      <c r="O5" s="75"/>
      <c r="P5" s="75"/>
      <c r="Q5" s="75"/>
      <c r="R5" s="22" t="s">
        <v>563</v>
      </c>
    </row>
    <row r="6" spans="1:23" ht="20.399999999999999" customHeight="1" x14ac:dyDescent="0.3">
      <c r="A6" s="18">
        <v>3</v>
      </c>
      <c r="B6" s="7">
        <f t="shared" ca="1" si="0"/>
        <v>44850.430189930557</v>
      </c>
      <c r="C6" s="8">
        <f t="shared" ca="1" si="1"/>
        <v>44850.430189930557</v>
      </c>
      <c r="D6" s="6" t="s">
        <v>494</v>
      </c>
      <c r="E6" s="6"/>
      <c r="F6" s="6"/>
      <c r="G6" s="6"/>
      <c r="H6" s="9"/>
      <c r="I6" s="75"/>
      <c r="J6" s="75"/>
      <c r="K6" s="75"/>
      <c r="L6" s="75"/>
      <c r="M6" s="75"/>
      <c r="N6" s="75"/>
      <c r="O6" s="75"/>
      <c r="P6" s="75"/>
      <c r="Q6" s="75"/>
      <c r="R6" s="22" t="s">
        <v>563</v>
      </c>
    </row>
    <row r="7" spans="1:23" ht="20.399999999999999" customHeight="1" x14ac:dyDescent="0.3">
      <c r="A7" s="18">
        <v>4</v>
      </c>
      <c r="B7" s="7">
        <f t="shared" ca="1" si="0"/>
        <v>44850.430207870369</v>
      </c>
      <c r="C7" s="8">
        <f t="shared" ca="1" si="1"/>
        <v>44850.430207870369</v>
      </c>
      <c r="D7" s="6" t="s">
        <v>497</v>
      </c>
      <c r="E7" s="6"/>
      <c r="F7" s="6"/>
      <c r="G7" s="6"/>
      <c r="H7" s="9"/>
      <c r="I7" s="75"/>
      <c r="J7" s="75"/>
      <c r="K7" s="75"/>
      <c r="L7" s="75"/>
      <c r="M7" s="75"/>
      <c r="N7" s="75"/>
      <c r="O7" s="75"/>
      <c r="P7" s="75"/>
      <c r="Q7" s="75"/>
      <c r="R7" s="22" t="s">
        <v>563</v>
      </c>
    </row>
    <row r="8" spans="1:23" ht="20.399999999999999" customHeight="1" x14ac:dyDescent="0.3">
      <c r="A8" s="18">
        <v>5</v>
      </c>
      <c r="B8" s="7">
        <f t="shared" ca="1" si="0"/>
        <v>44850.430216319444</v>
      </c>
      <c r="C8" s="8">
        <f t="shared" ca="1" si="1"/>
        <v>44850.430216319444</v>
      </c>
      <c r="D8" s="6" t="s">
        <v>495</v>
      </c>
      <c r="E8" s="6"/>
      <c r="F8" s="6"/>
      <c r="G8" s="6"/>
      <c r="H8" s="9"/>
      <c r="I8" s="75"/>
      <c r="J8" s="75"/>
      <c r="K8" s="75"/>
      <c r="L8" s="75"/>
      <c r="M8" s="75"/>
      <c r="N8" s="75"/>
      <c r="O8" s="75"/>
      <c r="P8" s="75"/>
      <c r="Q8" s="75"/>
      <c r="R8" s="22" t="s">
        <v>563</v>
      </c>
    </row>
    <row r="9" spans="1:23" ht="20.399999999999999" customHeight="1" x14ac:dyDescent="0.3">
      <c r="A9" s="18">
        <v>6</v>
      </c>
      <c r="B9" s="7">
        <f ca="1">IF(D9 &lt;&gt;"", IF(C9 ="", NOW(), C9), "")</f>
        <v>44850.430794675929</v>
      </c>
      <c r="C9" s="8">
        <f ca="1">IF(D9 &lt;&gt;"", IF(C9 ="", NOW(), C9), "")</f>
        <v>44850.430794675929</v>
      </c>
      <c r="D9" s="6" t="s">
        <v>498</v>
      </c>
      <c r="E9" s="6"/>
      <c r="F9" s="6"/>
      <c r="G9" s="6"/>
      <c r="H9" s="9"/>
      <c r="I9" s="75"/>
      <c r="J9" s="75"/>
      <c r="K9" s="75"/>
      <c r="L9" s="75"/>
      <c r="M9" s="75"/>
      <c r="N9" s="75"/>
      <c r="O9" s="75"/>
      <c r="P9" s="75"/>
      <c r="Q9" s="75"/>
      <c r="R9" s="22" t="s">
        <v>564</v>
      </c>
    </row>
    <row r="10" spans="1:23" ht="20.399999999999999" customHeight="1" x14ac:dyDescent="0.3">
      <c r="A10" s="18">
        <v>7</v>
      </c>
      <c r="B10" s="7">
        <f t="shared" ref="B10:B13" ca="1" si="2">IF(D10 &lt;&gt;"", IF(C10 ="", NOW(), C10), "")</f>
        <v>44850.43083229167</v>
      </c>
      <c r="C10" s="8">
        <f t="shared" ref="C10:C13" ca="1" si="3">IF(D10 &lt;&gt;"", IF(C10 ="", NOW(), C10), "")</f>
        <v>44850.43083229167</v>
      </c>
      <c r="D10" s="6" t="s">
        <v>499</v>
      </c>
      <c r="E10" s="6"/>
      <c r="F10" s="6"/>
      <c r="G10" s="6"/>
      <c r="H10" s="9"/>
      <c r="I10" s="75"/>
      <c r="J10" s="75"/>
      <c r="K10" s="75"/>
      <c r="L10" s="75"/>
      <c r="M10" s="75"/>
      <c r="N10" s="75"/>
      <c r="O10" s="75"/>
      <c r="P10" s="75"/>
      <c r="Q10" s="75"/>
      <c r="R10" s="22" t="s">
        <v>564</v>
      </c>
    </row>
    <row r="11" spans="1:23" ht="20.399999999999999" customHeight="1" x14ac:dyDescent="0.3">
      <c r="A11" s="18">
        <v>8</v>
      </c>
      <c r="B11" s="7">
        <f t="shared" ca="1" si="2"/>
        <v>44850.430870486111</v>
      </c>
      <c r="C11" s="8">
        <f t="shared" ca="1" si="3"/>
        <v>44850.430870486111</v>
      </c>
      <c r="D11" s="6" t="s">
        <v>500</v>
      </c>
      <c r="E11" s="6"/>
      <c r="F11" s="6"/>
      <c r="G11" s="6"/>
      <c r="H11" s="9"/>
      <c r="I11" s="75"/>
      <c r="J11" s="75"/>
      <c r="K11" s="75"/>
      <c r="L11" s="75"/>
      <c r="M11" s="75"/>
      <c r="N11" s="75"/>
      <c r="O11" s="75"/>
      <c r="P11" s="75"/>
      <c r="Q11" s="75"/>
      <c r="R11" s="22" t="s">
        <v>564</v>
      </c>
    </row>
    <row r="12" spans="1:23" ht="20.399999999999999" customHeight="1" x14ac:dyDescent="0.3">
      <c r="A12" s="18">
        <v>9</v>
      </c>
      <c r="B12" s="7">
        <f t="shared" ca="1" si="2"/>
        <v>44850.430899768522</v>
      </c>
      <c r="C12" s="8">
        <f t="shared" ca="1" si="3"/>
        <v>44850.430899768522</v>
      </c>
      <c r="D12" s="6" t="s">
        <v>501</v>
      </c>
      <c r="E12" s="6"/>
      <c r="F12" s="6"/>
      <c r="G12" s="6"/>
      <c r="H12" s="9"/>
      <c r="I12" s="75"/>
      <c r="J12" s="75"/>
      <c r="K12" s="75"/>
      <c r="L12" s="75"/>
      <c r="M12" s="75"/>
      <c r="N12" s="75"/>
      <c r="O12" s="75"/>
      <c r="P12" s="75"/>
      <c r="Q12" s="75"/>
      <c r="R12" s="22" t="s">
        <v>564</v>
      </c>
    </row>
    <row r="13" spans="1:23" ht="20.399999999999999" customHeight="1" thickBot="1" x14ac:dyDescent="0.35">
      <c r="A13" s="19">
        <v>10</v>
      </c>
      <c r="B13" s="10">
        <f t="shared" ca="1" si="2"/>
        <v>44850.430910416668</v>
      </c>
      <c r="C13" s="11">
        <f t="shared" ca="1" si="3"/>
        <v>44850.430910416668</v>
      </c>
      <c r="D13" s="12" t="s">
        <v>502</v>
      </c>
      <c r="E13" s="12"/>
      <c r="F13" s="12"/>
      <c r="G13" s="12"/>
      <c r="H13" s="9"/>
      <c r="I13" s="76"/>
      <c r="J13" s="76"/>
      <c r="K13" s="76"/>
      <c r="L13" s="76"/>
      <c r="M13" s="76"/>
      <c r="N13" s="76"/>
      <c r="O13" s="76"/>
      <c r="P13" s="76"/>
      <c r="Q13" s="76"/>
      <c r="R13" s="23" t="s">
        <v>564</v>
      </c>
    </row>
    <row r="14" spans="1:23" x14ac:dyDescent="0.3">
      <c r="B14" s="1" t="str">
        <f t="shared" ca="1" si="0"/>
        <v/>
      </c>
      <c r="C14" s="2" t="str">
        <f t="shared" ca="1" si="1"/>
        <v/>
      </c>
    </row>
    <row r="15" spans="1:23" x14ac:dyDescent="0.3">
      <c r="B15" s="1" t="str">
        <f t="shared" ca="1" si="0"/>
        <v/>
      </c>
      <c r="C15" s="2" t="str">
        <f t="shared" ca="1" si="1"/>
        <v/>
      </c>
    </row>
    <row r="16" spans="1:23" x14ac:dyDescent="0.3">
      <c r="B16" s="1" t="str">
        <f t="shared" ca="1" si="0"/>
        <v/>
      </c>
      <c r="C16" s="2" t="str">
        <f t="shared" ca="1" si="1"/>
        <v/>
      </c>
    </row>
    <row r="17" spans="2:3" x14ac:dyDescent="0.3">
      <c r="B17" s="1" t="str">
        <f t="shared" ca="1" si="0"/>
        <v/>
      </c>
      <c r="C17" s="2" t="str">
        <f t="shared" ca="1" si="1"/>
        <v/>
      </c>
    </row>
    <row r="18" spans="2:3" x14ac:dyDescent="0.3">
      <c r="B18" s="1" t="str">
        <f t="shared" ca="1" si="0"/>
        <v/>
      </c>
      <c r="C18" s="2" t="str">
        <f t="shared" ca="1" si="1"/>
        <v/>
      </c>
    </row>
    <row r="19" spans="2:3" x14ac:dyDescent="0.3">
      <c r="B19" s="1" t="str">
        <f t="shared" ca="1" si="0"/>
        <v/>
      </c>
      <c r="C19" s="2" t="str">
        <f t="shared" ca="1" si="1"/>
        <v/>
      </c>
    </row>
    <row r="20" spans="2:3" x14ac:dyDescent="0.3">
      <c r="B20" s="1" t="str">
        <f t="shared" ca="1" si="0"/>
        <v/>
      </c>
      <c r="C20" s="2" t="str">
        <f t="shared" ca="1" si="1"/>
        <v/>
      </c>
    </row>
    <row r="21" spans="2:3" x14ac:dyDescent="0.3">
      <c r="B21" s="1" t="str">
        <f t="shared" ca="1" si="0"/>
        <v/>
      </c>
      <c r="C21" s="2" t="str">
        <f t="shared" ca="1" si="1"/>
        <v/>
      </c>
    </row>
    <row r="22" spans="2:3" x14ac:dyDescent="0.3">
      <c r="B22" s="1" t="str">
        <f t="shared" ca="1" si="0"/>
        <v/>
      </c>
      <c r="C22" s="2" t="str">
        <f t="shared" ca="1" si="1"/>
        <v/>
      </c>
    </row>
    <row r="23" spans="2:3" x14ac:dyDescent="0.3">
      <c r="B23" s="1" t="str">
        <f t="shared" ca="1" si="0"/>
        <v/>
      </c>
      <c r="C23" s="2" t="str">
        <f t="shared" ca="1" si="1"/>
        <v/>
      </c>
    </row>
    <row r="24" spans="2:3" x14ac:dyDescent="0.3">
      <c r="B24" s="1" t="str">
        <f t="shared" ca="1" si="0"/>
        <v/>
      </c>
      <c r="C24" s="2" t="str">
        <f t="shared" ca="1" si="1"/>
        <v/>
      </c>
    </row>
    <row r="25" spans="2:3" x14ac:dyDescent="0.3">
      <c r="B25" s="1" t="str">
        <f t="shared" ca="1" si="0"/>
        <v/>
      </c>
      <c r="C25" s="2" t="str">
        <f t="shared" ca="1" si="1"/>
        <v/>
      </c>
    </row>
    <row r="26" spans="2:3" x14ac:dyDescent="0.3">
      <c r="B26" s="1" t="str">
        <f t="shared" ca="1" si="0"/>
        <v/>
      </c>
      <c r="C26" s="2" t="str">
        <f t="shared" ca="1" si="1"/>
        <v/>
      </c>
    </row>
    <row r="27" spans="2:3" x14ac:dyDescent="0.3">
      <c r="B27" s="1" t="str">
        <f t="shared" ca="1" si="0"/>
        <v/>
      </c>
      <c r="C27" s="2" t="str">
        <f t="shared" ca="1" si="1"/>
        <v/>
      </c>
    </row>
    <row r="28" spans="2:3" x14ac:dyDescent="0.3">
      <c r="B28" s="1" t="str">
        <f t="shared" ca="1" si="0"/>
        <v/>
      </c>
      <c r="C28" s="2" t="str">
        <f t="shared" ca="1" si="1"/>
        <v/>
      </c>
    </row>
    <row r="29" spans="2:3" x14ac:dyDescent="0.3">
      <c r="B29" s="1" t="str">
        <f t="shared" ca="1" si="0"/>
        <v/>
      </c>
      <c r="C29" s="2" t="str">
        <f t="shared" ca="1" si="1"/>
        <v/>
      </c>
    </row>
    <row r="30" spans="2:3" x14ac:dyDescent="0.3">
      <c r="B30" s="1" t="str">
        <f t="shared" ca="1" si="0"/>
        <v/>
      </c>
      <c r="C30" s="2" t="str">
        <f t="shared" ca="1" si="1"/>
        <v/>
      </c>
    </row>
    <row r="31" spans="2:3" x14ac:dyDescent="0.3">
      <c r="B31" s="1" t="str">
        <f t="shared" ca="1" si="0"/>
        <v/>
      </c>
      <c r="C31" s="2" t="str">
        <f t="shared" ca="1" si="1"/>
        <v/>
      </c>
    </row>
    <row r="32" spans="2:3" x14ac:dyDescent="0.3">
      <c r="B32" s="1" t="str">
        <f t="shared" ca="1" si="0"/>
        <v/>
      </c>
      <c r="C32" s="2" t="str">
        <f t="shared" ca="1" si="1"/>
        <v/>
      </c>
    </row>
    <row r="33" spans="2:3" x14ac:dyDescent="0.3">
      <c r="B33" s="1" t="str">
        <f t="shared" ca="1" si="0"/>
        <v/>
      </c>
      <c r="C33" s="2" t="str">
        <f t="shared" ca="1" si="1"/>
        <v/>
      </c>
    </row>
    <row r="34" spans="2:3" x14ac:dyDescent="0.3">
      <c r="B34" s="1" t="str">
        <f t="shared" ca="1" si="0"/>
        <v/>
      </c>
      <c r="C34" s="2" t="str">
        <f t="shared" ca="1" si="1"/>
        <v/>
      </c>
    </row>
    <row r="35" spans="2:3" x14ac:dyDescent="0.3">
      <c r="B35" s="1" t="str">
        <f t="shared" ca="1" si="0"/>
        <v/>
      </c>
      <c r="C35" s="2" t="str">
        <f t="shared" ca="1" si="1"/>
        <v/>
      </c>
    </row>
    <row r="36" spans="2:3" x14ac:dyDescent="0.3">
      <c r="B36" s="1" t="str">
        <f t="shared" ca="1" si="0"/>
        <v/>
      </c>
      <c r="C36" s="2" t="str">
        <f t="shared" ca="1" si="1"/>
        <v/>
      </c>
    </row>
    <row r="37" spans="2:3" x14ac:dyDescent="0.3">
      <c r="B37" s="1" t="str">
        <f t="shared" ca="1" si="0"/>
        <v/>
      </c>
      <c r="C37" s="2" t="str">
        <f t="shared" ca="1" si="1"/>
        <v/>
      </c>
    </row>
    <row r="38" spans="2:3" x14ac:dyDescent="0.3">
      <c r="B38" s="1" t="str">
        <f t="shared" ca="1" si="0"/>
        <v/>
      </c>
      <c r="C38" s="2" t="str">
        <f t="shared" ca="1" si="1"/>
        <v/>
      </c>
    </row>
    <row r="39" spans="2:3" x14ac:dyDescent="0.3">
      <c r="B39" s="1" t="str">
        <f t="shared" ca="1" si="0"/>
        <v/>
      </c>
      <c r="C39" s="2" t="str">
        <f t="shared" ca="1" si="1"/>
        <v/>
      </c>
    </row>
    <row r="40" spans="2:3" x14ac:dyDescent="0.3">
      <c r="B40" s="1" t="str">
        <f t="shared" ca="1" si="0"/>
        <v/>
      </c>
      <c r="C40" s="2" t="str">
        <f t="shared" ca="1" si="1"/>
        <v/>
      </c>
    </row>
    <row r="41" spans="2:3" x14ac:dyDescent="0.3">
      <c r="B41" s="1" t="str">
        <f t="shared" ca="1" si="0"/>
        <v/>
      </c>
      <c r="C41" s="2" t="str">
        <f t="shared" ca="1" si="1"/>
        <v/>
      </c>
    </row>
    <row r="42" spans="2:3" x14ac:dyDescent="0.3">
      <c r="B42" s="1" t="str">
        <f t="shared" ca="1" si="0"/>
        <v/>
      </c>
      <c r="C42" s="2" t="str">
        <f t="shared" ca="1" si="1"/>
        <v/>
      </c>
    </row>
    <row r="43" spans="2:3" x14ac:dyDescent="0.3">
      <c r="B43" s="1" t="str">
        <f t="shared" ca="1" si="0"/>
        <v/>
      </c>
      <c r="C43" s="2" t="str">
        <f t="shared" ca="1" si="1"/>
        <v/>
      </c>
    </row>
    <row r="44" spans="2:3" x14ac:dyDescent="0.3">
      <c r="B44" s="1" t="str">
        <f t="shared" ca="1" si="0"/>
        <v/>
      </c>
      <c r="C44" s="2" t="str">
        <f t="shared" ca="1" si="1"/>
        <v/>
      </c>
    </row>
    <row r="45" spans="2:3" x14ac:dyDescent="0.3">
      <c r="B45" s="1" t="str">
        <f t="shared" ca="1" si="0"/>
        <v/>
      </c>
      <c r="C45" s="2" t="str">
        <f t="shared" ca="1" si="1"/>
        <v/>
      </c>
    </row>
    <row r="46" spans="2:3" x14ac:dyDescent="0.3">
      <c r="B46" s="1" t="str">
        <f t="shared" ca="1" si="0"/>
        <v/>
      </c>
      <c r="C46" s="2" t="str">
        <f t="shared" ca="1" si="1"/>
        <v/>
      </c>
    </row>
    <row r="47" spans="2:3" x14ac:dyDescent="0.3">
      <c r="B47" s="1" t="str">
        <f t="shared" ca="1" si="0"/>
        <v/>
      </c>
      <c r="C47" s="2" t="str">
        <f t="shared" ca="1" si="1"/>
        <v/>
      </c>
    </row>
    <row r="48" spans="2:3" x14ac:dyDescent="0.3">
      <c r="B48" s="1" t="str">
        <f t="shared" ca="1" si="0"/>
        <v/>
      </c>
      <c r="C48" s="2" t="str">
        <f t="shared" ca="1" si="1"/>
        <v/>
      </c>
    </row>
    <row r="49" spans="2:3" x14ac:dyDescent="0.3">
      <c r="B49" s="1" t="str">
        <f t="shared" ca="1" si="0"/>
        <v/>
      </c>
      <c r="C49" s="2" t="str">
        <f t="shared" ca="1" si="1"/>
        <v/>
      </c>
    </row>
    <row r="50" spans="2:3" x14ac:dyDescent="0.3">
      <c r="B50" s="1" t="str">
        <f t="shared" ca="1" si="0"/>
        <v/>
      </c>
      <c r="C50" s="2" t="str">
        <f t="shared" ca="1" si="1"/>
        <v/>
      </c>
    </row>
    <row r="51" spans="2:3" x14ac:dyDescent="0.3">
      <c r="B51" s="1" t="str">
        <f t="shared" ca="1" si="0"/>
        <v/>
      </c>
      <c r="C51" s="2" t="str">
        <f t="shared" ca="1" si="1"/>
        <v/>
      </c>
    </row>
    <row r="52" spans="2:3" x14ac:dyDescent="0.3">
      <c r="B52" s="1" t="str">
        <f t="shared" ca="1" si="0"/>
        <v/>
      </c>
      <c r="C52" s="2" t="str">
        <f t="shared" ca="1" si="1"/>
        <v/>
      </c>
    </row>
    <row r="53" spans="2:3" x14ac:dyDescent="0.3">
      <c r="B53" s="1" t="str">
        <f t="shared" ca="1" si="0"/>
        <v/>
      </c>
      <c r="C53" s="2" t="str">
        <f t="shared" ca="1" si="1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4">IF(D56 &lt;&gt;"", IF(C56 ="", NOW(), C56), "")</f>
        <v/>
      </c>
      <c r="C56" s="2" t="str">
        <f t="shared" ref="C56:C101" ca="1" si="5">IF(D56 &lt;&gt;"", IF(C56 ="", NOW(), C56), "")</f>
        <v/>
      </c>
    </row>
    <row r="57" spans="2:3" x14ac:dyDescent="0.3">
      <c r="B57" s="1" t="str">
        <f t="shared" ca="1" si="4"/>
        <v/>
      </c>
      <c r="C57" s="2" t="str">
        <f t="shared" ca="1" si="5"/>
        <v/>
      </c>
    </row>
    <row r="58" spans="2:3" x14ac:dyDescent="0.3">
      <c r="B58" s="1" t="str">
        <f t="shared" ca="1" si="4"/>
        <v/>
      </c>
      <c r="C58" s="2" t="str">
        <f t="shared" ca="1" si="5"/>
        <v/>
      </c>
    </row>
    <row r="59" spans="2:3" x14ac:dyDescent="0.3">
      <c r="B59" s="1" t="str">
        <f t="shared" ca="1" si="4"/>
        <v/>
      </c>
      <c r="C59" s="2" t="str">
        <f t="shared" ca="1" si="5"/>
        <v/>
      </c>
    </row>
    <row r="60" spans="2:3" x14ac:dyDescent="0.3">
      <c r="B60" s="1" t="str">
        <f t="shared" ca="1" si="4"/>
        <v/>
      </c>
      <c r="C60" s="2" t="str">
        <f t="shared" ca="1" si="5"/>
        <v/>
      </c>
    </row>
    <row r="61" spans="2:3" x14ac:dyDescent="0.3">
      <c r="B61" s="1" t="str">
        <f t="shared" ca="1" si="4"/>
        <v/>
      </c>
      <c r="C61" s="2" t="str">
        <f t="shared" ca="1" si="5"/>
        <v/>
      </c>
    </row>
    <row r="62" spans="2:3" x14ac:dyDescent="0.3">
      <c r="B62" s="1" t="str">
        <f t="shared" ca="1" si="4"/>
        <v/>
      </c>
      <c r="C62" s="2" t="str">
        <f t="shared" ca="1" si="5"/>
        <v/>
      </c>
    </row>
    <row r="63" spans="2:3" x14ac:dyDescent="0.3">
      <c r="B63" s="1" t="str">
        <f t="shared" ca="1" si="4"/>
        <v/>
      </c>
      <c r="C63" s="2" t="str">
        <f t="shared" ca="1" si="5"/>
        <v/>
      </c>
    </row>
    <row r="64" spans="2:3" x14ac:dyDescent="0.3">
      <c r="B64" s="1" t="str">
        <f t="shared" ca="1" si="4"/>
        <v/>
      </c>
      <c r="C64" s="2" t="str">
        <f t="shared" ca="1" si="5"/>
        <v/>
      </c>
    </row>
    <row r="65" spans="2:3" x14ac:dyDescent="0.3">
      <c r="B65" s="1" t="str">
        <f t="shared" ca="1" si="4"/>
        <v/>
      </c>
      <c r="C65" s="2" t="str">
        <f t="shared" ca="1" si="5"/>
        <v/>
      </c>
    </row>
    <row r="66" spans="2:3" x14ac:dyDescent="0.3">
      <c r="B66" s="1" t="str">
        <f t="shared" ca="1" si="4"/>
        <v/>
      </c>
      <c r="C66" s="2" t="str">
        <f t="shared" ca="1" si="5"/>
        <v/>
      </c>
    </row>
    <row r="67" spans="2:3" x14ac:dyDescent="0.3">
      <c r="B67" s="1" t="str">
        <f t="shared" ca="1" si="4"/>
        <v/>
      </c>
      <c r="C67" s="2" t="str">
        <f t="shared" ca="1" si="5"/>
        <v/>
      </c>
    </row>
    <row r="68" spans="2:3" x14ac:dyDescent="0.3">
      <c r="B68" s="1" t="str">
        <f t="shared" ca="1" si="4"/>
        <v/>
      </c>
      <c r="C68" s="2" t="str">
        <f t="shared" ca="1" si="5"/>
        <v/>
      </c>
    </row>
    <row r="69" spans="2:3" x14ac:dyDescent="0.3">
      <c r="B69" s="1" t="str">
        <f t="shared" ca="1" si="4"/>
        <v/>
      </c>
      <c r="C69" s="2" t="str">
        <f t="shared" ca="1" si="5"/>
        <v/>
      </c>
    </row>
    <row r="70" spans="2:3" x14ac:dyDescent="0.3">
      <c r="B70" s="1" t="str">
        <f t="shared" ca="1" si="4"/>
        <v/>
      </c>
      <c r="C70" s="2" t="str">
        <f t="shared" ca="1" si="5"/>
        <v/>
      </c>
    </row>
    <row r="71" spans="2:3" x14ac:dyDescent="0.3">
      <c r="B71" s="1" t="str">
        <f t="shared" ca="1" si="4"/>
        <v/>
      </c>
      <c r="C71" s="2" t="str">
        <f t="shared" ca="1" si="5"/>
        <v/>
      </c>
    </row>
    <row r="72" spans="2:3" x14ac:dyDescent="0.3">
      <c r="B72" s="1" t="str">
        <f t="shared" ca="1" si="4"/>
        <v/>
      </c>
      <c r="C72" s="2" t="str">
        <f t="shared" ca="1" si="5"/>
        <v/>
      </c>
    </row>
    <row r="73" spans="2:3" x14ac:dyDescent="0.3">
      <c r="B73" s="1" t="str">
        <f t="shared" ca="1" si="4"/>
        <v/>
      </c>
      <c r="C73" s="2" t="str">
        <f t="shared" ca="1" si="5"/>
        <v/>
      </c>
    </row>
    <row r="74" spans="2:3" x14ac:dyDescent="0.3">
      <c r="B74" s="1" t="str">
        <f t="shared" ca="1" si="4"/>
        <v/>
      </c>
      <c r="C74" s="2" t="str">
        <f t="shared" ca="1" si="5"/>
        <v/>
      </c>
    </row>
    <row r="75" spans="2:3" x14ac:dyDescent="0.3">
      <c r="B75" s="1" t="str">
        <f t="shared" ca="1" si="4"/>
        <v/>
      </c>
      <c r="C75" s="2" t="str">
        <f t="shared" ca="1" si="5"/>
        <v/>
      </c>
    </row>
    <row r="76" spans="2:3" x14ac:dyDescent="0.3">
      <c r="B76" s="1" t="str">
        <f t="shared" ca="1" si="4"/>
        <v/>
      </c>
      <c r="C76" s="2" t="str">
        <f t="shared" ca="1" si="5"/>
        <v/>
      </c>
    </row>
    <row r="77" spans="2:3" x14ac:dyDescent="0.3">
      <c r="B77" s="1" t="str">
        <f t="shared" ca="1" si="4"/>
        <v/>
      </c>
      <c r="C77" s="2" t="str">
        <f t="shared" ca="1" si="5"/>
        <v/>
      </c>
    </row>
    <row r="78" spans="2:3" x14ac:dyDescent="0.3">
      <c r="B78" s="1" t="str">
        <f t="shared" ca="1" si="4"/>
        <v/>
      </c>
      <c r="C78" s="2" t="str">
        <f t="shared" ca="1" si="5"/>
        <v/>
      </c>
    </row>
    <row r="79" spans="2:3" x14ac:dyDescent="0.3">
      <c r="B79" s="1" t="str">
        <f t="shared" ca="1" si="4"/>
        <v/>
      </c>
      <c r="C79" s="2" t="str">
        <f t="shared" ca="1" si="5"/>
        <v/>
      </c>
    </row>
    <row r="80" spans="2:3" x14ac:dyDescent="0.3">
      <c r="B80" s="1" t="str">
        <f t="shared" ca="1" si="4"/>
        <v/>
      </c>
      <c r="C80" s="2" t="str">
        <f t="shared" ca="1" si="5"/>
        <v/>
      </c>
    </row>
    <row r="81" spans="2:3" x14ac:dyDescent="0.3">
      <c r="B81" s="1" t="str">
        <f t="shared" ca="1" si="4"/>
        <v/>
      </c>
      <c r="C81" s="2" t="str">
        <f t="shared" ca="1" si="5"/>
        <v/>
      </c>
    </row>
    <row r="82" spans="2:3" x14ac:dyDescent="0.3">
      <c r="B82" s="1" t="str">
        <f t="shared" ca="1" si="4"/>
        <v/>
      </c>
      <c r="C82" s="2" t="str">
        <f t="shared" ca="1" si="5"/>
        <v/>
      </c>
    </row>
    <row r="83" spans="2:3" x14ac:dyDescent="0.3">
      <c r="B83" s="1" t="str">
        <f t="shared" ca="1" si="4"/>
        <v/>
      </c>
      <c r="C83" s="2" t="str">
        <f t="shared" ca="1" si="5"/>
        <v/>
      </c>
    </row>
    <row r="84" spans="2:3" x14ac:dyDescent="0.3">
      <c r="B84" s="1" t="str">
        <f t="shared" ca="1" si="4"/>
        <v/>
      </c>
      <c r="C84" s="2" t="str">
        <f t="shared" ca="1" si="5"/>
        <v/>
      </c>
    </row>
    <row r="85" spans="2:3" x14ac:dyDescent="0.3">
      <c r="B85" s="1" t="str">
        <f t="shared" ca="1" si="4"/>
        <v/>
      </c>
      <c r="C85" s="2" t="str">
        <f t="shared" ca="1" si="5"/>
        <v/>
      </c>
    </row>
    <row r="86" spans="2:3" x14ac:dyDescent="0.3">
      <c r="B86" s="1" t="str">
        <f t="shared" ca="1" si="4"/>
        <v/>
      </c>
      <c r="C86" s="2" t="str">
        <f t="shared" ca="1" si="5"/>
        <v/>
      </c>
    </row>
    <row r="87" spans="2:3" x14ac:dyDescent="0.3">
      <c r="B87" s="1" t="str">
        <f t="shared" ca="1" si="4"/>
        <v/>
      </c>
      <c r="C87" s="2" t="str">
        <f t="shared" ca="1" si="5"/>
        <v/>
      </c>
    </row>
    <row r="88" spans="2:3" x14ac:dyDescent="0.3">
      <c r="B88" s="1" t="str">
        <f t="shared" ca="1" si="4"/>
        <v/>
      </c>
      <c r="C88" s="2" t="str">
        <f t="shared" ca="1" si="5"/>
        <v/>
      </c>
    </row>
    <row r="89" spans="2:3" x14ac:dyDescent="0.3">
      <c r="B89" s="1" t="str">
        <f t="shared" ca="1" si="4"/>
        <v/>
      </c>
      <c r="C89" s="2" t="str">
        <f t="shared" ca="1" si="5"/>
        <v/>
      </c>
    </row>
    <row r="90" spans="2:3" x14ac:dyDescent="0.3">
      <c r="B90" s="1" t="str">
        <f t="shared" ca="1" si="4"/>
        <v/>
      </c>
      <c r="C90" s="2" t="str">
        <f t="shared" ca="1" si="5"/>
        <v/>
      </c>
    </row>
    <row r="91" spans="2:3" x14ac:dyDescent="0.3">
      <c r="B91" s="1" t="str">
        <f t="shared" ca="1" si="4"/>
        <v/>
      </c>
      <c r="C91" s="2" t="str">
        <f t="shared" ca="1" si="5"/>
        <v/>
      </c>
    </row>
    <row r="92" spans="2:3" x14ac:dyDescent="0.3">
      <c r="B92" s="1" t="str">
        <f t="shared" ca="1" si="4"/>
        <v/>
      </c>
      <c r="C92" s="2" t="str">
        <f t="shared" ca="1" si="5"/>
        <v/>
      </c>
    </row>
    <row r="93" spans="2:3" x14ac:dyDescent="0.3">
      <c r="B93" s="1" t="str">
        <f t="shared" ca="1" si="4"/>
        <v/>
      </c>
      <c r="C93" s="2" t="str">
        <f t="shared" ca="1" si="5"/>
        <v/>
      </c>
    </row>
    <row r="94" spans="2:3" x14ac:dyDescent="0.3">
      <c r="B94" s="1" t="str">
        <f t="shared" ca="1" si="4"/>
        <v/>
      </c>
      <c r="C94" s="2" t="str">
        <f t="shared" ca="1" si="5"/>
        <v/>
      </c>
    </row>
    <row r="95" spans="2:3" x14ac:dyDescent="0.3">
      <c r="B95" s="1" t="str">
        <f t="shared" ca="1" si="4"/>
        <v/>
      </c>
      <c r="C95" s="2" t="str">
        <f t="shared" ca="1" si="5"/>
        <v/>
      </c>
    </row>
    <row r="96" spans="2:3" x14ac:dyDescent="0.3">
      <c r="B96" s="1" t="str">
        <f t="shared" ca="1" si="4"/>
        <v/>
      </c>
      <c r="C96" s="2" t="str">
        <f t="shared" ca="1" si="5"/>
        <v/>
      </c>
    </row>
    <row r="97" spans="2:3" x14ac:dyDescent="0.3">
      <c r="B97" s="1" t="str">
        <f t="shared" ca="1" si="4"/>
        <v/>
      </c>
      <c r="C97" s="2" t="str">
        <f t="shared" ca="1" si="5"/>
        <v/>
      </c>
    </row>
    <row r="98" spans="2:3" x14ac:dyDescent="0.3">
      <c r="B98" s="1" t="str">
        <f t="shared" ca="1" si="4"/>
        <v/>
      </c>
      <c r="C98" s="2" t="str">
        <f t="shared" ca="1" si="5"/>
        <v/>
      </c>
    </row>
    <row r="99" spans="2:3" x14ac:dyDescent="0.3">
      <c r="B99" s="1" t="str">
        <f t="shared" ca="1" si="4"/>
        <v/>
      </c>
      <c r="C99" s="2" t="str">
        <f t="shared" ca="1" si="5"/>
        <v/>
      </c>
    </row>
    <row r="100" spans="2:3" x14ac:dyDescent="0.3">
      <c r="B100" s="1" t="str">
        <f t="shared" ca="1" si="4"/>
        <v/>
      </c>
      <c r="C100" s="2" t="str">
        <f t="shared" ca="1" si="5"/>
        <v/>
      </c>
    </row>
    <row r="101" spans="2:3" x14ac:dyDescent="0.3">
      <c r="B101" s="1" t="str">
        <f t="shared" ca="1" si="4"/>
        <v/>
      </c>
      <c r="C101" s="2" t="str">
        <f t="shared" ca="1" si="5"/>
        <v/>
      </c>
    </row>
  </sheetData>
  <mergeCells count="25">
    <mergeCell ref="I5:M5"/>
    <mergeCell ref="I6:M6"/>
    <mergeCell ref="I7:M7"/>
    <mergeCell ref="N13:Q13"/>
    <mergeCell ref="N8:Q8"/>
    <mergeCell ref="N9:Q9"/>
    <mergeCell ref="N10:Q10"/>
    <mergeCell ref="N11:Q11"/>
    <mergeCell ref="N12:Q12"/>
    <mergeCell ref="I13:M13"/>
    <mergeCell ref="N5:Q5"/>
    <mergeCell ref="N6:Q6"/>
    <mergeCell ref="N7:Q7"/>
    <mergeCell ref="A1:I2"/>
    <mergeCell ref="J1:J2"/>
    <mergeCell ref="K1:M2"/>
    <mergeCell ref="N1:R3"/>
    <mergeCell ref="I3:M3"/>
    <mergeCell ref="I8:M8"/>
    <mergeCell ref="I9:M9"/>
    <mergeCell ref="I10:M10"/>
    <mergeCell ref="I11:M11"/>
    <mergeCell ref="I12:M12"/>
    <mergeCell ref="N4:Q4"/>
    <mergeCell ref="I4:M4"/>
  </mergeCells>
  <conditionalFormatting sqref="D39:D1048576 D4:D8 D14:D37">
    <cfRule type="duplicateValues" dxfId="55" priority="12"/>
  </conditionalFormatting>
  <conditionalFormatting sqref="D4:D8 D14:D1048576">
    <cfRule type="duplicateValues" dxfId="54" priority="11"/>
  </conditionalFormatting>
  <conditionalFormatting sqref="D9:D13">
    <cfRule type="duplicateValues" dxfId="53" priority="8"/>
  </conditionalFormatting>
  <conditionalFormatting sqref="D9:D13">
    <cfRule type="duplicateValues" dxfId="52" priority="7"/>
  </conditionalFormatting>
  <conditionalFormatting sqref="J1">
    <cfRule type="duplicateValues" dxfId="51" priority="6"/>
  </conditionalFormatting>
  <conditionalFormatting sqref="J1">
    <cfRule type="duplicateValues" dxfId="50" priority="5"/>
  </conditionalFormatting>
  <conditionalFormatting sqref="K1">
    <cfRule type="duplicateValues" dxfId="49" priority="4"/>
  </conditionalFormatting>
  <conditionalFormatting sqref="K1:M2">
    <cfRule type="duplicateValues" dxfId="48" priority="3"/>
  </conditionalFormatting>
  <conditionalFormatting sqref="K1:M2">
    <cfRule type="duplicateValues" dxfId="47" priority="2"/>
  </conditionalFormatting>
  <conditionalFormatting sqref="D4:D13">
    <cfRule type="duplicateValues" dxfId="46" priority="1"/>
  </conditionalFormatting>
  <dataValidations count="1">
    <dataValidation type="list" allowBlank="1" showInputMessage="1" showErrorMessage="1" sqref="H4:H13" xr:uid="{7A681E07-008F-461C-9B43-7244A068DAD1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101"/>
  <sheetViews>
    <sheetView workbookViewId="0">
      <selection activeCell="H17" sqref="H17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19.2" customHeight="1" x14ac:dyDescent="0.3">
      <c r="A4" s="18">
        <v>1</v>
      </c>
      <c r="B4" s="7">
        <f ca="1">IF(D4 &lt;&gt;"", IF(C4 ="", NOW(), C4), "")</f>
        <v>44850.432648263886</v>
      </c>
      <c r="C4" s="8">
        <f ca="1">IF(D4 &lt;&gt;"", IF(C4 ="", NOW(), C4), "")</f>
        <v>44850.432648263886</v>
      </c>
      <c r="D4" s="6" t="s">
        <v>26</v>
      </c>
      <c r="E4" s="6"/>
      <c r="F4" s="6"/>
      <c r="G4" s="6"/>
      <c r="H4" s="9"/>
      <c r="I4" s="75"/>
      <c r="J4" s="75"/>
      <c r="K4" s="75"/>
      <c r="L4" s="75"/>
      <c r="M4" s="75"/>
      <c r="N4" s="75"/>
      <c r="O4" s="75"/>
      <c r="P4" s="75"/>
      <c r="Q4" s="75"/>
      <c r="R4" s="77"/>
    </row>
    <row r="5" spans="1:23" ht="19.2" customHeight="1" x14ac:dyDescent="0.3">
      <c r="A5" s="18">
        <v>2</v>
      </c>
      <c r="B5" s="7">
        <f t="shared" ref="B5:B53" ca="1" si="0">IF(D5 &lt;&gt;"", IF(C5 ="", NOW(), C5), "")</f>
        <v>44850.43274178241</v>
      </c>
      <c r="C5" s="8">
        <f t="shared" ref="C5:C53" ca="1" si="1">IF(D5 &lt;&gt;"", IF(C5 ="", NOW(), C5), "")</f>
        <v>44850.43274178241</v>
      </c>
      <c r="D5" s="6" t="s">
        <v>503</v>
      </c>
      <c r="E5" s="6"/>
      <c r="F5" s="6"/>
      <c r="G5" s="6"/>
      <c r="H5" s="9"/>
      <c r="I5" s="75"/>
      <c r="J5" s="75"/>
      <c r="K5" s="75"/>
      <c r="L5" s="75"/>
      <c r="M5" s="75"/>
      <c r="N5" s="75"/>
      <c r="O5" s="75"/>
      <c r="P5" s="75"/>
      <c r="Q5" s="75"/>
      <c r="R5" s="77"/>
    </row>
    <row r="6" spans="1:23" ht="19.2" customHeight="1" x14ac:dyDescent="0.3">
      <c r="A6" s="18">
        <v>3</v>
      </c>
      <c r="B6" s="7">
        <f t="shared" ca="1" si="0"/>
        <v>44850.433477893515</v>
      </c>
      <c r="C6" s="8">
        <f t="shared" ca="1" si="1"/>
        <v>44850.433477893515</v>
      </c>
      <c r="D6" s="6" t="s">
        <v>504</v>
      </c>
      <c r="E6" s="6"/>
      <c r="F6" s="6"/>
      <c r="G6" s="6"/>
      <c r="H6" s="9"/>
      <c r="I6" s="75"/>
      <c r="J6" s="75"/>
      <c r="K6" s="75"/>
      <c r="L6" s="75"/>
      <c r="M6" s="75"/>
      <c r="N6" s="75"/>
      <c r="O6" s="75"/>
      <c r="P6" s="75"/>
      <c r="Q6" s="75"/>
      <c r="R6" s="77"/>
    </row>
    <row r="7" spans="1:23" ht="19.2" customHeight="1" x14ac:dyDescent="0.3">
      <c r="A7" s="18">
        <v>4</v>
      </c>
      <c r="B7" s="7">
        <f t="shared" ca="1" si="0"/>
        <v>44850.433554166666</v>
      </c>
      <c r="C7" s="8">
        <f t="shared" ca="1" si="1"/>
        <v>44850.433554166666</v>
      </c>
      <c r="D7" s="6" t="s">
        <v>505</v>
      </c>
      <c r="E7" s="6"/>
      <c r="F7" s="6"/>
      <c r="G7" s="6"/>
      <c r="H7" s="9"/>
      <c r="I7" s="75"/>
      <c r="J7" s="75"/>
      <c r="K7" s="75"/>
      <c r="L7" s="75"/>
      <c r="M7" s="75"/>
      <c r="N7" s="75"/>
      <c r="O7" s="75"/>
      <c r="P7" s="75"/>
      <c r="Q7" s="75"/>
      <c r="R7" s="77"/>
    </row>
    <row r="8" spans="1:23" ht="19.2" customHeight="1" x14ac:dyDescent="0.3">
      <c r="A8" s="18">
        <v>5</v>
      </c>
      <c r="B8" s="7">
        <f t="shared" ca="1" si="0"/>
        <v>44850.433773263889</v>
      </c>
      <c r="C8" s="8">
        <f t="shared" ca="1" si="1"/>
        <v>44850.433773263889</v>
      </c>
      <c r="D8" s="6" t="s">
        <v>506</v>
      </c>
      <c r="E8" s="6"/>
      <c r="F8" s="6"/>
      <c r="G8" s="6"/>
      <c r="H8" s="9"/>
      <c r="I8" s="75"/>
      <c r="J8" s="75"/>
      <c r="K8" s="75"/>
      <c r="L8" s="75"/>
      <c r="M8" s="75"/>
      <c r="N8" s="75"/>
      <c r="O8" s="75"/>
      <c r="P8" s="75"/>
      <c r="Q8" s="75"/>
      <c r="R8" s="77"/>
    </row>
    <row r="9" spans="1:23" ht="19.2" customHeight="1" x14ac:dyDescent="0.3">
      <c r="A9" s="18">
        <v>6</v>
      </c>
      <c r="B9" s="7">
        <f t="shared" ca="1" si="0"/>
        <v>44850.433941898147</v>
      </c>
      <c r="C9" s="8">
        <f t="shared" ca="1" si="1"/>
        <v>44850.433941898147</v>
      </c>
      <c r="D9" s="6" t="s">
        <v>507</v>
      </c>
      <c r="E9" s="6"/>
      <c r="F9" s="6"/>
      <c r="G9" s="6"/>
      <c r="H9" s="9"/>
      <c r="I9" s="75"/>
      <c r="J9" s="75"/>
      <c r="K9" s="75"/>
      <c r="L9" s="75"/>
      <c r="M9" s="75"/>
      <c r="N9" s="75"/>
      <c r="O9" s="75"/>
      <c r="P9" s="75"/>
      <c r="Q9" s="75"/>
      <c r="R9" s="77"/>
    </row>
    <row r="10" spans="1:23" ht="19.2" customHeight="1" x14ac:dyDescent="0.3">
      <c r="A10" s="18">
        <v>7</v>
      </c>
      <c r="B10" s="7">
        <f t="shared" ca="1" si="0"/>
        <v>44850.434302314818</v>
      </c>
      <c r="C10" s="8">
        <f t="shared" ca="1" si="1"/>
        <v>44850.434302314818</v>
      </c>
      <c r="D10" s="6" t="s">
        <v>508</v>
      </c>
      <c r="E10" s="6"/>
      <c r="F10" s="6"/>
      <c r="G10" s="6"/>
      <c r="H10" s="9"/>
      <c r="I10" s="75"/>
      <c r="J10" s="75"/>
      <c r="K10" s="75"/>
      <c r="L10" s="75"/>
      <c r="M10" s="75"/>
      <c r="N10" s="75"/>
      <c r="O10" s="75"/>
      <c r="P10" s="75"/>
      <c r="Q10" s="75"/>
      <c r="R10" s="77"/>
    </row>
    <row r="11" spans="1:23" ht="19.2" customHeight="1" x14ac:dyDescent="0.3">
      <c r="A11" s="18">
        <v>8</v>
      </c>
      <c r="B11" s="7">
        <f t="shared" ca="1" si="0"/>
        <v>44850.434527893522</v>
      </c>
      <c r="C11" s="8">
        <f t="shared" ca="1" si="1"/>
        <v>44850.434527893522</v>
      </c>
      <c r="D11" s="6" t="s">
        <v>509</v>
      </c>
      <c r="E11" s="6"/>
      <c r="F11" s="6"/>
      <c r="G11" s="6"/>
      <c r="H11" s="9"/>
      <c r="I11" s="75"/>
      <c r="J11" s="75"/>
      <c r="K11" s="75"/>
      <c r="L11" s="75"/>
      <c r="M11" s="75"/>
      <c r="N11" s="75"/>
      <c r="O11" s="75"/>
      <c r="P11" s="75"/>
      <c r="Q11" s="75"/>
      <c r="R11" s="77"/>
    </row>
    <row r="12" spans="1:23" ht="19.2" customHeight="1" x14ac:dyDescent="0.3">
      <c r="A12" s="18">
        <v>9</v>
      </c>
      <c r="B12" s="7">
        <f t="shared" ca="1" si="0"/>
        <v>44850.434719328703</v>
      </c>
      <c r="C12" s="8">
        <f t="shared" ca="1" si="1"/>
        <v>44850.434719328703</v>
      </c>
      <c r="D12" s="6" t="s">
        <v>510</v>
      </c>
      <c r="E12" s="6"/>
      <c r="F12" s="6"/>
      <c r="G12" s="6"/>
      <c r="H12" s="9"/>
      <c r="I12" s="75"/>
      <c r="J12" s="75"/>
      <c r="K12" s="75"/>
      <c r="L12" s="75"/>
      <c r="M12" s="75"/>
      <c r="N12" s="75"/>
      <c r="O12" s="75"/>
      <c r="P12" s="75"/>
      <c r="Q12" s="75"/>
      <c r="R12" s="77"/>
    </row>
    <row r="13" spans="1:23" ht="19.2" customHeight="1" x14ac:dyDescent="0.3">
      <c r="A13" s="18">
        <v>10</v>
      </c>
      <c r="B13" s="7">
        <f t="shared" ca="1" si="0"/>
        <v>44850.434858564811</v>
      </c>
      <c r="C13" s="8">
        <f t="shared" ca="1" si="1"/>
        <v>44850.434858564811</v>
      </c>
      <c r="D13" s="6" t="s">
        <v>511</v>
      </c>
      <c r="E13" s="6"/>
      <c r="F13" s="6"/>
      <c r="G13" s="6"/>
      <c r="H13" s="9"/>
      <c r="I13" s="75"/>
      <c r="J13" s="75"/>
      <c r="K13" s="75"/>
      <c r="L13" s="75"/>
      <c r="M13" s="75"/>
      <c r="N13" s="75"/>
      <c r="O13" s="75"/>
      <c r="P13" s="75"/>
      <c r="Q13" s="75"/>
      <c r="R13" s="77"/>
    </row>
    <row r="14" spans="1:23" ht="19.2" customHeight="1" x14ac:dyDescent="0.3">
      <c r="A14" s="18">
        <v>11</v>
      </c>
      <c r="B14" s="7">
        <f t="shared" ca="1" si="0"/>
        <v>44850.434949074071</v>
      </c>
      <c r="C14" s="8">
        <f t="shared" ca="1" si="1"/>
        <v>44850.434949074071</v>
      </c>
      <c r="D14" s="6" t="s">
        <v>512</v>
      </c>
      <c r="E14" s="6"/>
      <c r="F14" s="6"/>
      <c r="G14" s="6"/>
      <c r="H14" s="9"/>
      <c r="I14" s="75"/>
      <c r="J14" s="75"/>
      <c r="K14" s="75"/>
      <c r="L14" s="75"/>
      <c r="M14" s="75"/>
      <c r="N14" s="75"/>
      <c r="O14" s="75"/>
      <c r="P14" s="75"/>
      <c r="Q14" s="75"/>
      <c r="R14" s="77"/>
    </row>
    <row r="15" spans="1:23" ht="19.2" customHeight="1" x14ac:dyDescent="0.3">
      <c r="A15" s="18">
        <v>12</v>
      </c>
      <c r="B15" s="7">
        <f t="shared" ca="1" si="0"/>
        <v>44850.435494560188</v>
      </c>
      <c r="C15" s="8">
        <f t="shared" ca="1" si="1"/>
        <v>44850.435494560188</v>
      </c>
      <c r="D15" s="6" t="s">
        <v>513</v>
      </c>
      <c r="E15" s="6"/>
      <c r="F15" s="6"/>
      <c r="G15" s="6"/>
      <c r="H15" s="9"/>
      <c r="I15" s="75"/>
      <c r="J15" s="75"/>
      <c r="K15" s="75"/>
      <c r="L15" s="75"/>
      <c r="M15" s="75"/>
      <c r="N15" s="75"/>
      <c r="O15" s="75"/>
      <c r="P15" s="75"/>
      <c r="Q15" s="75"/>
      <c r="R15" s="77"/>
    </row>
    <row r="16" spans="1:23" ht="19.2" customHeight="1" x14ac:dyDescent="0.3">
      <c r="A16" s="18">
        <v>13</v>
      </c>
      <c r="B16" s="7">
        <f t="shared" ca="1" si="0"/>
        <v>44850.436631249999</v>
      </c>
      <c r="C16" s="8">
        <f t="shared" ca="1" si="1"/>
        <v>44850.436631249999</v>
      </c>
      <c r="D16" s="6" t="s">
        <v>504</v>
      </c>
      <c r="E16" s="6">
        <v>12</v>
      </c>
      <c r="F16" s="6"/>
      <c r="G16" s="6"/>
      <c r="H16" s="9"/>
      <c r="I16" s="75"/>
      <c r="J16" s="75"/>
      <c r="K16" s="75"/>
      <c r="L16" s="75"/>
      <c r="M16" s="75"/>
      <c r="N16" s="75"/>
      <c r="O16" s="75"/>
      <c r="P16" s="75"/>
      <c r="Q16" s="75"/>
      <c r="R16" s="77"/>
    </row>
    <row r="17" spans="1:18" ht="19.2" customHeight="1" x14ac:dyDescent="0.3">
      <c r="A17" s="18">
        <v>14</v>
      </c>
      <c r="B17" s="7">
        <f t="shared" ca="1" si="0"/>
        <v>44850.436768402775</v>
      </c>
      <c r="C17" s="8">
        <f t="shared" ca="1" si="1"/>
        <v>44850.436768402775</v>
      </c>
      <c r="D17" s="6" t="s">
        <v>504</v>
      </c>
      <c r="E17" s="6">
        <v>12</v>
      </c>
      <c r="F17" s="6"/>
      <c r="G17" s="6"/>
      <c r="H17" s="9"/>
      <c r="I17" s="75"/>
      <c r="J17" s="75"/>
      <c r="K17" s="75"/>
      <c r="L17" s="75"/>
      <c r="M17" s="75"/>
      <c r="N17" s="75"/>
      <c r="O17" s="75"/>
      <c r="P17" s="75"/>
      <c r="Q17" s="75"/>
      <c r="R17" s="77"/>
    </row>
    <row r="18" spans="1:18" ht="19.2" customHeight="1" x14ac:dyDescent="0.3">
      <c r="A18" s="18">
        <v>15</v>
      </c>
      <c r="B18" s="7">
        <f t="shared" ca="1" si="0"/>
        <v>44850.436777546296</v>
      </c>
      <c r="C18" s="8">
        <f t="shared" ca="1" si="1"/>
        <v>44850.436777546296</v>
      </c>
      <c r="D18" s="6" t="s">
        <v>504</v>
      </c>
      <c r="E18" s="6">
        <v>12</v>
      </c>
      <c r="F18" s="6"/>
      <c r="G18" s="6"/>
      <c r="H18" s="9"/>
      <c r="I18" s="75"/>
      <c r="J18" s="75"/>
      <c r="K18" s="75"/>
      <c r="L18" s="75"/>
      <c r="M18" s="75"/>
      <c r="N18" s="75"/>
      <c r="O18" s="75"/>
      <c r="P18" s="75"/>
      <c r="Q18" s="75"/>
      <c r="R18" s="77"/>
    </row>
    <row r="19" spans="1:18" ht="19.2" customHeight="1" x14ac:dyDescent="0.3">
      <c r="A19" s="18">
        <v>16</v>
      </c>
      <c r="B19" s="7">
        <f t="shared" ca="1" si="0"/>
        <v>44850.43680625</v>
      </c>
      <c r="C19" s="8">
        <f t="shared" ca="1" si="1"/>
        <v>44850.43680625</v>
      </c>
      <c r="D19" s="6" t="s">
        <v>504</v>
      </c>
      <c r="E19" s="6">
        <v>12</v>
      </c>
      <c r="F19" s="6"/>
      <c r="G19" s="6"/>
      <c r="H19" s="9"/>
      <c r="I19" s="75"/>
      <c r="J19" s="75"/>
      <c r="K19" s="75"/>
      <c r="L19" s="75"/>
      <c r="M19" s="75"/>
      <c r="N19" s="75"/>
      <c r="O19" s="75"/>
      <c r="P19" s="75"/>
      <c r="Q19" s="75"/>
      <c r="R19" s="77"/>
    </row>
    <row r="20" spans="1:18" ht="19.2" customHeight="1" x14ac:dyDescent="0.3">
      <c r="A20" s="18">
        <v>17</v>
      </c>
      <c r="B20" s="7">
        <f t="shared" ca="1" si="0"/>
        <v>44850.445015625002</v>
      </c>
      <c r="C20" s="8">
        <f t="shared" ca="1" si="1"/>
        <v>44850.445015625002</v>
      </c>
      <c r="D20" s="6" t="s">
        <v>504</v>
      </c>
      <c r="E20" s="6" t="s">
        <v>517</v>
      </c>
      <c r="F20" s="6"/>
      <c r="G20" s="6"/>
      <c r="H20" s="9"/>
      <c r="I20" s="75"/>
      <c r="J20" s="75"/>
      <c r="K20" s="75"/>
      <c r="L20" s="75"/>
      <c r="M20" s="75"/>
      <c r="N20" s="75"/>
      <c r="O20" s="75"/>
      <c r="P20" s="75"/>
      <c r="Q20" s="75"/>
      <c r="R20" s="77"/>
    </row>
    <row r="21" spans="1:18" ht="19.2" customHeight="1" x14ac:dyDescent="0.3">
      <c r="A21" s="18">
        <v>18</v>
      </c>
      <c r="B21" s="7">
        <f t="shared" ca="1" si="0"/>
        <v>44850.445030902774</v>
      </c>
      <c r="C21" s="8">
        <f t="shared" ca="1" si="1"/>
        <v>44850.445030902774</v>
      </c>
      <c r="D21" s="6" t="s">
        <v>504</v>
      </c>
      <c r="E21" s="6" t="s">
        <v>517</v>
      </c>
      <c r="F21" s="6"/>
      <c r="G21" s="6"/>
      <c r="H21" s="9"/>
      <c r="I21" s="75"/>
      <c r="J21" s="75"/>
      <c r="K21" s="75"/>
      <c r="L21" s="75"/>
      <c r="M21" s="75"/>
      <c r="N21" s="75"/>
      <c r="O21" s="75"/>
      <c r="P21" s="75"/>
      <c r="Q21" s="75"/>
      <c r="R21" s="77"/>
    </row>
    <row r="22" spans="1:18" ht="19.2" customHeight="1" thickBot="1" x14ac:dyDescent="0.35">
      <c r="A22" s="19">
        <v>19</v>
      </c>
      <c r="B22" s="10">
        <f t="shared" ca="1" si="0"/>
        <v>44850.445057175923</v>
      </c>
      <c r="C22" s="11">
        <f t="shared" ca="1" si="1"/>
        <v>44850.445057175923</v>
      </c>
      <c r="D22" s="12" t="s">
        <v>504</v>
      </c>
      <c r="E22" s="12" t="s">
        <v>517</v>
      </c>
      <c r="F22" s="12"/>
      <c r="G22" s="12"/>
      <c r="H22" s="9"/>
      <c r="I22" s="76"/>
      <c r="J22" s="76"/>
      <c r="K22" s="76"/>
      <c r="L22" s="76"/>
      <c r="M22" s="76"/>
      <c r="N22" s="76"/>
      <c r="O22" s="76"/>
      <c r="P22" s="76"/>
      <c r="Q22" s="76"/>
      <c r="R22" s="78"/>
    </row>
    <row r="23" spans="1:18" x14ac:dyDescent="0.3">
      <c r="B23" s="1" t="str">
        <f t="shared" ca="1" si="0"/>
        <v/>
      </c>
      <c r="C23" s="2" t="str">
        <f t="shared" ca="1" si="1"/>
        <v/>
      </c>
    </row>
    <row r="24" spans="1:18" x14ac:dyDescent="0.3">
      <c r="B24" s="1" t="str">
        <f t="shared" ca="1" si="0"/>
        <v/>
      </c>
      <c r="C24" s="2" t="str">
        <f t="shared" ca="1" si="1"/>
        <v/>
      </c>
    </row>
    <row r="25" spans="1:18" x14ac:dyDescent="0.3">
      <c r="B25" s="1" t="str">
        <f t="shared" ca="1" si="0"/>
        <v/>
      </c>
      <c r="C25" s="2" t="str">
        <f t="shared" ca="1" si="1"/>
        <v/>
      </c>
    </row>
    <row r="26" spans="1:18" x14ac:dyDescent="0.3">
      <c r="B26" s="1" t="str">
        <f t="shared" ca="1" si="0"/>
        <v/>
      </c>
      <c r="C26" s="2" t="str">
        <f t="shared" ca="1" si="1"/>
        <v/>
      </c>
    </row>
    <row r="27" spans="1:18" x14ac:dyDescent="0.3">
      <c r="B27" s="1" t="str">
        <f t="shared" ca="1" si="0"/>
        <v/>
      </c>
      <c r="C27" s="2" t="str">
        <f t="shared" ca="1" si="1"/>
        <v/>
      </c>
    </row>
    <row r="28" spans="1:18" x14ac:dyDescent="0.3">
      <c r="B28" s="1" t="str">
        <f t="shared" ca="1" si="0"/>
        <v/>
      </c>
      <c r="C28" s="2" t="str">
        <f t="shared" ca="1" si="1"/>
        <v/>
      </c>
    </row>
    <row r="29" spans="1:18" x14ac:dyDescent="0.3">
      <c r="B29" s="1" t="str">
        <f t="shared" ca="1" si="0"/>
        <v/>
      </c>
      <c r="C29" s="2" t="str">
        <f t="shared" ca="1" si="1"/>
        <v/>
      </c>
    </row>
    <row r="30" spans="1:18" x14ac:dyDescent="0.3">
      <c r="B30" s="1" t="str">
        <f t="shared" ca="1" si="0"/>
        <v/>
      </c>
      <c r="C30" s="2" t="str">
        <f t="shared" ca="1" si="1"/>
        <v/>
      </c>
    </row>
    <row r="31" spans="1:18" x14ac:dyDescent="0.3">
      <c r="B31" s="1" t="str">
        <f t="shared" ca="1" si="0"/>
        <v/>
      </c>
      <c r="C31" s="2" t="str">
        <f t="shared" ca="1" si="1"/>
        <v/>
      </c>
    </row>
    <row r="32" spans="1:18" x14ac:dyDescent="0.3">
      <c r="B32" s="1" t="str">
        <f t="shared" ca="1" si="0"/>
        <v/>
      </c>
      <c r="C32" s="2" t="str">
        <f t="shared" ca="1" si="1"/>
        <v/>
      </c>
    </row>
    <row r="33" spans="2:3" x14ac:dyDescent="0.3">
      <c r="B33" s="1" t="str">
        <f t="shared" ca="1" si="0"/>
        <v/>
      </c>
      <c r="C33" s="2" t="str">
        <f t="shared" ca="1" si="1"/>
        <v/>
      </c>
    </row>
    <row r="34" spans="2:3" x14ac:dyDescent="0.3">
      <c r="B34" s="1" t="str">
        <f t="shared" ca="1" si="0"/>
        <v/>
      </c>
      <c r="C34" s="2" t="str">
        <f t="shared" ca="1" si="1"/>
        <v/>
      </c>
    </row>
    <row r="35" spans="2:3" x14ac:dyDescent="0.3">
      <c r="B35" s="1" t="str">
        <f t="shared" ca="1" si="0"/>
        <v/>
      </c>
      <c r="C35" s="2" t="str">
        <f t="shared" ca="1" si="1"/>
        <v/>
      </c>
    </row>
    <row r="36" spans="2:3" x14ac:dyDescent="0.3">
      <c r="B36" s="1" t="str">
        <f t="shared" ca="1" si="0"/>
        <v/>
      </c>
      <c r="C36" s="2" t="str">
        <f t="shared" ca="1" si="1"/>
        <v/>
      </c>
    </row>
    <row r="37" spans="2:3" x14ac:dyDescent="0.3">
      <c r="B37" s="1" t="str">
        <f t="shared" ca="1" si="0"/>
        <v/>
      </c>
      <c r="C37" s="2" t="str">
        <f t="shared" ca="1" si="1"/>
        <v/>
      </c>
    </row>
    <row r="38" spans="2:3" x14ac:dyDescent="0.3">
      <c r="B38" s="1" t="str">
        <f t="shared" ca="1" si="0"/>
        <v/>
      </c>
      <c r="C38" s="2" t="str">
        <f t="shared" ca="1" si="1"/>
        <v/>
      </c>
    </row>
    <row r="39" spans="2:3" x14ac:dyDescent="0.3">
      <c r="B39" s="1" t="str">
        <f t="shared" ca="1" si="0"/>
        <v/>
      </c>
      <c r="C39" s="2" t="str">
        <f t="shared" ca="1" si="1"/>
        <v/>
      </c>
    </row>
    <row r="40" spans="2:3" x14ac:dyDescent="0.3">
      <c r="B40" s="1" t="str">
        <f t="shared" ca="1" si="0"/>
        <v/>
      </c>
      <c r="C40" s="2" t="str">
        <f t="shared" ca="1" si="1"/>
        <v/>
      </c>
    </row>
    <row r="41" spans="2:3" x14ac:dyDescent="0.3">
      <c r="B41" s="1" t="str">
        <f t="shared" ca="1" si="0"/>
        <v/>
      </c>
      <c r="C41" s="2" t="str">
        <f t="shared" ca="1" si="1"/>
        <v/>
      </c>
    </row>
    <row r="42" spans="2:3" x14ac:dyDescent="0.3">
      <c r="B42" s="1" t="str">
        <f t="shared" ca="1" si="0"/>
        <v/>
      </c>
      <c r="C42" s="2" t="str">
        <f t="shared" ca="1" si="1"/>
        <v/>
      </c>
    </row>
    <row r="43" spans="2:3" x14ac:dyDescent="0.3">
      <c r="B43" s="1" t="str">
        <f t="shared" ca="1" si="0"/>
        <v/>
      </c>
      <c r="C43" s="2" t="str">
        <f t="shared" ca="1" si="1"/>
        <v/>
      </c>
    </row>
    <row r="44" spans="2:3" x14ac:dyDescent="0.3">
      <c r="B44" s="1" t="str">
        <f t="shared" ca="1" si="0"/>
        <v/>
      </c>
      <c r="C44" s="2" t="str">
        <f t="shared" ca="1" si="1"/>
        <v/>
      </c>
    </row>
    <row r="45" spans="2:3" x14ac:dyDescent="0.3">
      <c r="B45" s="1" t="str">
        <f t="shared" ca="1" si="0"/>
        <v/>
      </c>
      <c r="C45" s="2" t="str">
        <f t="shared" ca="1" si="1"/>
        <v/>
      </c>
    </row>
    <row r="46" spans="2:3" x14ac:dyDescent="0.3">
      <c r="B46" s="1" t="str">
        <f t="shared" ca="1" si="0"/>
        <v/>
      </c>
      <c r="C46" s="2" t="str">
        <f t="shared" ca="1" si="1"/>
        <v/>
      </c>
    </row>
    <row r="47" spans="2:3" x14ac:dyDescent="0.3">
      <c r="B47" s="1" t="str">
        <f t="shared" ca="1" si="0"/>
        <v/>
      </c>
      <c r="C47" s="2" t="str">
        <f t="shared" ca="1" si="1"/>
        <v/>
      </c>
    </row>
    <row r="48" spans="2:3" x14ac:dyDescent="0.3">
      <c r="B48" s="1" t="str">
        <f t="shared" ca="1" si="0"/>
        <v/>
      </c>
      <c r="C48" s="2" t="str">
        <f t="shared" ca="1" si="1"/>
        <v/>
      </c>
    </row>
    <row r="49" spans="2:3" x14ac:dyDescent="0.3">
      <c r="B49" s="1" t="str">
        <f t="shared" ca="1" si="0"/>
        <v/>
      </c>
      <c r="C49" s="2" t="str">
        <f t="shared" ca="1" si="1"/>
        <v/>
      </c>
    </row>
    <row r="50" spans="2:3" x14ac:dyDescent="0.3">
      <c r="B50" s="1" t="str">
        <f t="shared" ca="1" si="0"/>
        <v/>
      </c>
      <c r="C50" s="2" t="str">
        <f t="shared" ca="1" si="1"/>
        <v/>
      </c>
    </row>
    <row r="51" spans="2:3" x14ac:dyDescent="0.3">
      <c r="B51" s="1" t="str">
        <f t="shared" ca="1" si="0"/>
        <v/>
      </c>
      <c r="C51" s="2" t="str">
        <f t="shared" ca="1" si="1"/>
        <v/>
      </c>
    </row>
    <row r="52" spans="2:3" x14ac:dyDescent="0.3">
      <c r="B52" s="1" t="str">
        <f t="shared" ca="1" si="0"/>
        <v/>
      </c>
      <c r="C52" s="2" t="str">
        <f t="shared" ca="1" si="1"/>
        <v/>
      </c>
    </row>
    <row r="53" spans="2:3" x14ac:dyDescent="0.3">
      <c r="B53" s="1" t="str">
        <f t="shared" ca="1" si="0"/>
        <v/>
      </c>
      <c r="C53" s="2" t="str">
        <f t="shared" ca="1" si="1"/>
        <v/>
      </c>
    </row>
    <row r="54" spans="2:3" x14ac:dyDescent="0.3">
      <c r="B54" s="1"/>
      <c r="C54" s="2"/>
    </row>
    <row r="55" spans="2:3" x14ac:dyDescent="0.3">
      <c r="B55" s="1"/>
      <c r="C55" s="2"/>
    </row>
    <row r="56" spans="2:3" x14ac:dyDescent="0.3">
      <c r="B56" s="1" t="str">
        <f t="shared" ref="B56:B101" ca="1" si="2">IF(D56 &lt;&gt;"", IF(C56 ="", NOW(), C56), "")</f>
        <v/>
      </c>
      <c r="C56" s="2" t="str">
        <f t="shared" ref="C56:C101" ca="1" si="3">IF(D56 &lt;&gt;"", IF(C56 ="", NOW(), C56), "")</f>
        <v/>
      </c>
    </row>
    <row r="57" spans="2:3" x14ac:dyDescent="0.3">
      <c r="B57" s="1" t="str">
        <f t="shared" ca="1" si="2"/>
        <v/>
      </c>
      <c r="C57" s="2" t="str">
        <f t="shared" ca="1" si="3"/>
        <v/>
      </c>
    </row>
    <row r="58" spans="2:3" x14ac:dyDescent="0.3">
      <c r="B58" s="1" t="str">
        <f t="shared" ca="1" si="2"/>
        <v/>
      </c>
      <c r="C58" s="2" t="str">
        <f t="shared" ca="1" si="3"/>
        <v/>
      </c>
    </row>
    <row r="59" spans="2:3" x14ac:dyDescent="0.3">
      <c r="B59" s="1" t="str">
        <f t="shared" ca="1" si="2"/>
        <v/>
      </c>
      <c r="C59" s="2" t="str">
        <f t="shared" ca="1" si="3"/>
        <v/>
      </c>
    </row>
    <row r="60" spans="2:3" x14ac:dyDescent="0.3">
      <c r="B60" s="1" t="str">
        <f t="shared" ca="1" si="2"/>
        <v/>
      </c>
      <c r="C60" s="2" t="str">
        <f t="shared" ca="1" si="3"/>
        <v/>
      </c>
    </row>
    <row r="61" spans="2:3" x14ac:dyDescent="0.3">
      <c r="B61" s="1" t="str">
        <f t="shared" ca="1" si="2"/>
        <v/>
      </c>
      <c r="C61" s="2" t="str">
        <f t="shared" ca="1" si="3"/>
        <v/>
      </c>
    </row>
    <row r="62" spans="2:3" x14ac:dyDescent="0.3">
      <c r="B62" s="1" t="str">
        <f t="shared" ca="1" si="2"/>
        <v/>
      </c>
      <c r="C62" s="2" t="str">
        <f t="shared" ca="1" si="3"/>
        <v/>
      </c>
    </row>
    <row r="63" spans="2:3" x14ac:dyDescent="0.3">
      <c r="B63" s="1" t="str">
        <f t="shared" ca="1" si="2"/>
        <v/>
      </c>
      <c r="C63" s="2" t="str">
        <f t="shared" ca="1" si="3"/>
        <v/>
      </c>
    </row>
    <row r="64" spans="2:3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ca="1" si="2"/>
        <v/>
      </c>
      <c r="C69" s="2" t="str">
        <f t="shared" ca="1" si="3"/>
        <v/>
      </c>
    </row>
    <row r="70" spans="2:3" x14ac:dyDescent="0.3">
      <c r="B70" s="1" t="str">
        <f t="shared" ca="1" si="2"/>
        <v/>
      </c>
      <c r="C70" s="2" t="str">
        <f t="shared" ca="1" si="3"/>
        <v/>
      </c>
    </row>
    <row r="71" spans="2:3" x14ac:dyDescent="0.3">
      <c r="B71" s="1" t="str">
        <f t="shared" ca="1" si="2"/>
        <v/>
      </c>
      <c r="C71" s="2" t="str">
        <f t="shared" ca="1" si="3"/>
        <v/>
      </c>
    </row>
    <row r="72" spans="2:3" x14ac:dyDescent="0.3">
      <c r="B72" s="1" t="str">
        <f t="shared" ca="1" si="2"/>
        <v/>
      </c>
      <c r="C72" s="2" t="str">
        <f t="shared" ca="1" si="3"/>
        <v/>
      </c>
    </row>
    <row r="73" spans="2:3" x14ac:dyDescent="0.3">
      <c r="B73" s="1" t="str">
        <f t="shared" ca="1" si="2"/>
        <v/>
      </c>
      <c r="C73" s="2" t="str">
        <f t="shared" ca="1" si="3"/>
        <v/>
      </c>
    </row>
    <row r="74" spans="2:3" x14ac:dyDescent="0.3">
      <c r="B74" s="1" t="str">
        <f t="shared" ca="1" si="2"/>
        <v/>
      </c>
      <c r="C74" s="2" t="str">
        <f t="shared" ca="1" si="3"/>
        <v/>
      </c>
    </row>
    <row r="75" spans="2:3" x14ac:dyDescent="0.3">
      <c r="B75" s="1" t="str">
        <f t="shared" ca="1" si="2"/>
        <v/>
      </c>
      <c r="C75" s="2" t="str">
        <f t="shared" ca="1" si="3"/>
        <v/>
      </c>
    </row>
    <row r="76" spans="2:3" x14ac:dyDescent="0.3">
      <c r="B76" s="1" t="str">
        <f t="shared" ca="1" si="2"/>
        <v/>
      </c>
      <c r="C76" s="2" t="str">
        <f t="shared" ca="1" si="3"/>
        <v/>
      </c>
    </row>
    <row r="77" spans="2:3" x14ac:dyDescent="0.3">
      <c r="B77" s="1" t="str">
        <f t="shared" ca="1" si="2"/>
        <v/>
      </c>
      <c r="C77" s="2" t="str">
        <f t="shared" ca="1" si="3"/>
        <v/>
      </c>
    </row>
    <row r="78" spans="2:3" x14ac:dyDescent="0.3">
      <c r="B78" s="1" t="str">
        <f t="shared" ca="1" si="2"/>
        <v/>
      </c>
      <c r="C78" s="2" t="str">
        <f t="shared" ca="1" si="3"/>
        <v/>
      </c>
    </row>
    <row r="79" spans="2:3" x14ac:dyDescent="0.3">
      <c r="B79" s="1" t="str">
        <f t="shared" ca="1" si="2"/>
        <v/>
      </c>
      <c r="C79" s="2" t="str">
        <f t="shared" ca="1" si="3"/>
        <v/>
      </c>
    </row>
    <row r="80" spans="2:3" x14ac:dyDescent="0.3">
      <c r="B80" s="1" t="str">
        <f t="shared" ca="1" si="2"/>
        <v/>
      </c>
      <c r="C80" s="2" t="str">
        <f t="shared" ca="1" si="3"/>
        <v/>
      </c>
    </row>
    <row r="81" spans="2:3" x14ac:dyDescent="0.3">
      <c r="B81" s="1" t="str">
        <f t="shared" ca="1" si="2"/>
        <v/>
      </c>
      <c r="C81" s="2" t="str">
        <f t="shared" ca="1" si="3"/>
        <v/>
      </c>
    </row>
    <row r="82" spans="2:3" x14ac:dyDescent="0.3">
      <c r="B82" s="1" t="str">
        <f t="shared" ca="1" si="2"/>
        <v/>
      </c>
      <c r="C82" s="2" t="str">
        <f t="shared" ca="1" si="3"/>
        <v/>
      </c>
    </row>
    <row r="83" spans="2:3" x14ac:dyDescent="0.3">
      <c r="B83" s="1" t="str">
        <f t="shared" ca="1" si="2"/>
        <v/>
      </c>
      <c r="C83" s="2" t="str">
        <f t="shared" ca="1" si="3"/>
        <v/>
      </c>
    </row>
    <row r="84" spans="2:3" x14ac:dyDescent="0.3">
      <c r="B84" s="1" t="str">
        <f t="shared" ca="1" si="2"/>
        <v/>
      </c>
      <c r="C84" s="2" t="str">
        <f t="shared" ca="1" si="3"/>
        <v/>
      </c>
    </row>
    <row r="85" spans="2:3" x14ac:dyDescent="0.3">
      <c r="B85" s="1" t="str">
        <f t="shared" ca="1" si="2"/>
        <v/>
      </c>
      <c r="C85" s="2" t="str">
        <f t="shared" ca="1" si="3"/>
        <v/>
      </c>
    </row>
    <row r="86" spans="2:3" x14ac:dyDescent="0.3">
      <c r="B86" s="1" t="str">
        <f t="shared" ca="1" si="2"/>
        <v/>
      </c>
      <c r="C86" s="2" t="str">
        <f t="shared" ca="1" si="3"/>
        <v/>
      </c>
    </row>
    <row r="87" spans="2:3" x14ac:dyDescent="0.3">
      <c r="B87" s="1" t="str">
        <f t="shared" ca="1" si="2"/>
        <v/>
      </c>
      <c r="C87" s="2" t="str">
        <f t="shared" ca="1" si="3"/>
        <v/>
      </c>
    </row>
    <row r="88" spans="2:3" x14ac:dyDescent="0.3">
      <c r="B88" s="1" t="str">
        <f t="shared" ca="1" si="2"/>
        <v/>
      </c>
      <c r="C88" s="2" t="str">
        <f t="shared" ca="1" si="3"/>
        <v/>
      </c>
    </row>
    <row r="89" spans="2:3" x14ac:dyDescent="0.3">
      <c r="B89" s="1" t="str">
        <f t="shared" ca="1" si="2"/>
        <v/>
      </c>
      <c r="C89" s="2" t="str">
        <f t="shared" ca="1" si="3"/>
        <v/>
      </c>
    </row>
    <row r="90" spans="2:3" x14ac:dyDescent="0.3">
      <c r="B90" s="1" t="str">
        <f t="shared" ca="1" si="2"/>
        <v/>
      </c>
      <c r="C90" s="2" t="str">
        <f t="shared" ca="1" si="3"/>
        <v/>
      </c>
    </row>
    <row r="91" spans="2:3" x14ac:dyDescent="0.3">
      <c r="B91" s="1" t="str">
        <f t="shared" ca="1" si="2"/>
        <v/>
      </c>
      <c r="C91" s="2" t="str">
        <f t="shared" ca="1" si="3"/>
        <v/>
      </c>
    </row>
    <row r="92" spans="2:3" x14ac:dyDescent="0.3">
      <c r="B92" s="1" t="str">
        <f t="shared" ca="1" si="2"/>
        <v/>
      </c>
      <c r="C92" s="2" t="str">
        <f t="shared" ca="1" si="3"/>
        <v/>
      </c>
    </row>
    <row r="93" spans="2:3" x14ac:dyDescent="0.3">
      <c r="B93" s="1" t="str">
        <f t="shared" ca="1" si="2"/>
        <v/>
      </c>
      <c r="C93" s="2" t="str">
        <f t="shared" ca="1" si="3"/>
        <v/>
      </c>
    </row>
    <row r="94" spans="2:3" x14ac:dyDescent="0.3">
      <c r="B94" s="1" t="str">
        <f t="shared" ca="1" si="2"/>
        <v/>
      </c>
      <c r="C94" s="2" t="str">
        <f t="shared" ca="1" si="3"/>
        <v/>
      </c>
    </row>
    <row r="95" spans="2:3" x14ac:dyDescent="0.3">
      <c r="B95" s="1" t="str">
        <f t="shared" ca="1" si="2"/>
        <v/>
      </c>
      <c r="C95" s="2" t="str">
        <f t="shared" ca="1" si="3"/>
        <v/>
      </c>
    </row>
    <row r="96" spans="2:3" x14ac:dyDescent="0.3">
      <c r="B96" s="1" t="str">
        <f t="shared" ca="1" si="2"/>
        <v/>
      </c>
      <c r="C96" s="2" t="str">
        <f t="shared" ca="1" si="3"/>
        <v/>
      </c>
    </row>
    <row r="97" spans="2:3" x14ac:dyDescent="0.3">
      <c r="B97" s="1" t="str">
        <f t="shared" ca="1" si="2"/>
        <v/>
      </c>
      <c r="C97" s="2" t="str">
        <f t="shared" ca="1" si="3"/>
        <v/>
      </c>
    </row>
    <row r="98" spans="2:3" x14ac:dyDescent="0.3">
      <c r="B98" s="1" t="str">
        <f t="shared" ca="1" si="2"/>
        <v/>
      </c>
      <c r="C98" s="2" t="str">
        <f t="shared" ca="1" si="3"/>
        <v/>
      </c>
    </row>
    <row r="99" spans="2:3" x14ac:dyDescent="0.3">
      <c r="B99" s="1" t="str">
        <f t="shared" ca="1" si="2"/>
        <v/>
      </c>
      <c r="C99" s="2" t="str">
        <f t="shared" ca="1" si="3"/>
        <v/>
      </c>
    </row>
    <row r="100" spans="2:3" x14ac:dyDescent="0.3">
      <c r="B100" s="1" t="str">
        <f t="shared" ca="1" si="2"/>
        <v/>
      </c>
      <c r="C100" s="2" t="str">
        <f t="shared" ca="1" si="3"/>
        <v/>
      </c>
    </row>
    <row r="101" spans="2:3" x14ac:dyDescent="0.3">
      <c r="B101" s="1" t="str">
        <f t="shared" ca="1" si="2"/>
        <v/>
      </c>
      <c r="C101" s="2" t="str">
        <f t="shared" ca="1" si="3"/>
        <v/>
      </c>
    </row>
  </sheetData>
  <mergeCells count="43">
    <mergeCell ref="I21:M21"/>
    <mergeCell ref="I22:M22"/>
    <mergeCell ref="I5:M5"/>
    <mergeCell ref="I6:M6"/>
    <mergeCell ref="I7:M7"/>
    <mergeCell ref="I8:M8"/>
    <mergeCell ref="I9:M9"/>
    <mergeCell ref="I10:M10"/>
    <mergeCell ref="I11:M11"/>
    <mergeCell ref="I12:M12"/>
    <mergeCell ref="I13:M13"/>
    <mergeCell ref="I14:M14"/>
    <mergeCell ref="I15:M15"/>
    <mergeCell ref="I16:M16"/>
    <mergeCell ref="I17:M17"/>
    <mergeCell ref="I18:M18"/>
    <mergeCell ref="I19:M19"/>
    <mergeCell ref="N18:R18"/>
    <mergeCell ref="N19:R19"/>
    <mergeCell ref="N20:R20"/>
    <mergeCell ref="I20:M20"/>
    <mergeCell ref="N21:R21"/>
    <mergeCell ref="N22:R22"/>
    <mergeCell ref="N13:R13"/>
    <mergeCell ref="N14:R14"/>
    <mergeCell ref="N15:R15"/>
    <mergeCell ref="N16:R16"/>
    <mergeCell ref="N17:R17"/>
    <mergeCell ref="N8:R8"/>
    <mergeCell ref="N9:R9"/>
    <mergeCell ref="N10:R10"/>
    <mergeCell ref="N11:R11"/>
    <mergeCell ref="N12:R12"/>
    <mergeCell ref="I4:M4"/>
    <mergeCell ref="N4:R4"/>
    <mergeCell ref="N5:R5"/>
    <mergeCell ref="N6:R6"/>
    <mergeCell ref="N7:R7"/>
    <mergeCell ref="A1:I2"/>
    <mergeCell ref="J1:J2"/>
    <mergeCell ref="K1:M2"/>
    <mergeCell ref="N1:R3"/>
    <mergeCell ref="I3:M3"/>
  </mergeCells>
  <conditionalFormatting sqref="D39:D1048576 D4:D37">
    <cfRule type="duplicateValues" dxfId="45" priority="8"/>
  </conditionalFormatting>
  <conditionalFormatting sqref="D4:D1048576">
    <cfRule type="duplicateValues" dxfId="44" priority="7"/>
  </conditionalFormatting>
  <conditionalFormatting sqref="J1">
    <cfRule type="duplicateValues" dxfId="43" priority="6"/>
  </conditionalFormatting>
  <conditionalFormatting sqref="J1">
    <cfRule type="duplicateValues" dxfId="42" priority="5"/>
  </conditionalFormatting>
  <conditionalFormatting sqref="K1">
    <cfRule type="duplicateValues" dxfId="41" priority="4"/>
  </conditionalFormatting>
  <conditionalFormatting sqref="K1:M2">
    <cfRule type="duplicateValues" dxfId="40" priority="3"/>
  </conditionalFormatting>
  <conditionalFormatting sqref="K1:M2">
    <cfRule type="duplicateValues" dxfId="39" priority="2"/>
  </conditionalFormatting>
  <conditionalFormatting sqref="D4:D22 K1:M2">
    <cfRule type="duplicateValues" dxfId="38" priority="1"/>
  </conditionalFormatting>
  <dataValidations count="1">
    <dataValidation type="list" allowBlank="1" showInputMessage="1" showErrorMessage="1" sqref="H4:H22" xr:uid="{A93A72EF-700E-47CA-A58E-63027E0EB4CF}">
      <formula1>$T$1:$W$1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W102"/>
  <sheetViews>
    <sheetView workbookViewId="0">
      <selection activeCell="H7" sqref="H7"/>
    </sheetView>
  </sheetViews>
  <sheetFormatPr defaultRowHeight="14.4" x14ac:dyDescent="0.3"/>
  <cols>
    <col min="1" max="1" width="7" customWidth="1"/>
    <col min="2" max="3" width="13.33203125" customWidth="1"/>
    <col min="4" max="4" width="17.109375" customWidth="1"/>
    <col min="5" max="7" width="14" customWidth="1"/>
    <col min="8" max="9" width="12.21875" customWidth="1"/>
    <col min="10" max="10" width="14.6640625" customWidth="1"/>
    <col min="12" max="12" width="10.33203125" bestFit="1" customWidth="1"/>
    <col min="14" max="14" width="10.33203125" bestFit="1" customWidth="1"/>
  </cols>
  <sheetData>
    <row r="1" spans="1:23" x14ac:dyDescent="0.3">
      <c r="A1" s="46" t="s">
        <v>562</v>
      </c>
      <c r="B1" s="47"/>
      <c r="C1" s="47"/>
      <c r="D1" s="47"/>
      <c r="E1" s="47"/>
      <c r="F1" s="47"/>
      <c r="G1" s="47"/>
      <c r="H1" s="47"/>
      <c r="I1" s="47"/>
      <c r="J1" s="37" t="s">
        <v>559</v>
      </c>
      <c r="K1" s="39"/>
      <c r="L1" s="39"/>
      <c r="M1" s="39"/>
      <c r="N1" s="71"/>
      <c r="O1" s="71"/>
      <c r="P1" s="71"/>
      <c r="Q1" s="71"/>
      <c r="R1" s="72"/>
      <c r="T1" s="4" t="s">
        <v>570</v>
      </c>
      <c r="U1" s="4" t="s">
        <v>571</v>
      </c>
      <c r="V1" s="4" t="s">
        <v>572</v>
      </c>
      <c r="W1" s="4" t="s">
        <v>573</v>
      </c>
    </row>
    <row r="2" spans="1:23" ht="14.4" customHeight="1" x14ac:dyDescent="0.3">
      <c r="A2" s="48"/>
      <c r="B2" s="49"/>
      <c r="C2" s="49"/>
      <c r="D2" s="49"/>
      <c r="E2" s="49"/>
      <c r="F2" s="49"/>
      <c r="G2" s="49"/>
      <c r="H2" s="49"/>
      <c r="I2" s="49"/>
      <c r="J2" s="38"/>
      <c r="K2" s="40"/>
      <c r="L2" s="40"/>
      <c r="M2" s="40"/>
      <c r="N2" s="73"/>
      <c r="O2" s="73"/>
      <c r="P2" s="73"/>
      <c r="Q2" s="73"/>
      <c r="R2" s="74"/>
    </row>
    <row r="3" spans="1:23" ht="29.4" customHeight="1" x14ac:dyDescent="0.3">
      <c r="A3" s="14" t="s">
        <v>24</v>
      </c>
      <c r="B3" s="15" t="s">
        <v>468</v>
      </c>
      <c r="C3" s="15" t="s">
        <v>399</v>
      </c>
      <c r="D3" s="15" t="s">
        <v>25</v>
      </c>
      <c r="E3" s="15" t="s">
        <v>556</v>
      </c>
      <c r="F3" s="15" t="s">
        <v>557</v>
      </c>
      <c r="G3" s="16" t="s">
        <v>558</v>
      </c>
      <c r="H3" s="16" t="s">
        <v>560</v>
      </c>
      <c r="I3" s="45" t="s">
        <v>561</v>
      </c>
      <c r="J3" s="45"/>
      <c r="K3" s="45"/>
      <c r="L3" s="45"/>
      <c r="M3" s="45"/>
      <c r="N3" s="73"/>
      <c r="O3" s="73"/>
      <c r="P3" s="73"/>
      <c r="Q3" s="73"/>
      <c r="R3" s="74"/>
    </row>
    <row r="4" spans="1:23" ht="19.8" customHeight="1" x14ac:dyDescent="0.3">
      <c r="A4" s="18"/>
      <c r="B4" s="7">
        <f ca="1">IF(D4 &lt;&gt;"", IF(C4 ="", NOW(), C4), "")</f>
        <v>44850.58707303241</v>
      </c>
      <c r="C4" s="8">
        <f ca="1">IF(D4 &lt;&gt;"", IF(C4 ="", NOW(), C4), "")</f>
        <v>44850.58707303241</v>
      </c>
      <c r="D4" s="6" t="s">
        <v>548</v>
      </c>
      <c r="E4" s="6"/>
      <c r="F4" s="6"/>
      <c r="G4" s="6"/>
      <c r="H4" s="9"/>
      <c r="I4" s="75"/>
      <c r="J4" s="75"/>
      <c r="K4" s="75"/>
      <c r="L4" s="75"/>
      <c r="M4" s="75"/>
      <c r="N4" s="75"/>
      <c r="O4" s="75"/>
      <c r="P4" s="75"/>
      <c r="Q4" s="75"/>
      <c r="R4" s="77"/>
    </row>
    <row r="5" spans="1:23" ht="19.8" customHeight="1" x14ac:dyDescent="0.3">
      <c r="A5" s="18">
        <v>1</v>
      </c>
      <c r="B5" s="7">
        <f ca="1">IF(D5 &lt;&gt;"", IF(C5 ="", NOW(), C5), "")</f>
        <v>44850.440457291668</v>
      </c>
      <c r="C5" s="8">
        <f ca="1">IF(D5 &lt;&gt;"", IF(C5 ="", NOW(), C5), "")</f>
        <v>44850.440457291668</v>
      </c>
      <c r="D5" s="6" t="s">
        <v>515</v>
      </c>
      <c r="E5" s="6"/>
      <c r="F5" s="6"/>
      <c r="G5" s="6"/>
      <c r="H5" s="9"/>
      <c r="I5" s="75"/>
      <c r="J5" s="75"/>
      <c r="K5" s="75"/>
      <c r="L5" s="75"/>
      <c r="M5" s="75"/>
      <c r="N5" s="75"/>
      <c r="O5" s="75"/>
      <c r="P5" s="75"/>
      <c r="Q5" s="75"/>
      <c r="R5" s="77"/>
    </row>
    <row r="6" spans="1:23" ht="19.8" customHeight="1" x14ac:dyDescent="0.3">
      <c r="A6" s="18">
        <v>2</v>
      </c>
      <c r="B6" s="7">
        <f t="shared" ref="B6:B54" ca="1" si="0">IF(D6 &lt;&gt;"", IF(C6 ="", NOW(), C6), "")</f>
        <v>44850.441600347222</v>
      </c>
      <c r="C6" s="8">
        <f t="shared" ref="C6:C54" ca="1" si="1">IF(D6 &lt;&gt;"", IF(C6 ="", NOW(), C6), "")</f>
        <v>44850.441600347222</v>
      </c>
      <c r="D6" s="6" t="s">
        <v>514</v>
      </c>
      <c r="E6" s="6"/>
      <c r="F6" s="6"/>
      <c r="G6" s="6"/>
      <c r="H6" s="9"/>
      <c r="I6" s="75"/>
      <c r="J6" s="75"/>
      <c r="K6" s="75"/>
      <c r="L6" s="75"/>
      <c r="M6" s="75"/>
      <c r="N6" s="75"/>
      <c r="O6" s="75"/>
      <c r="P6" s="75"/>
      <c r="Q6" s="75"/>
      <c r="R6" s="77"/>
    </row>
    <row r="7" spans="1:23" ht="19.8" customHeight="1" x14ac:dyDescent="0.3">
      <c r="A7" s="18">
        <v>3</v>
      </c>
      <c r="B7" s="7">
        <f t="shared" ca="1" si="0"/>
        <v>44850.442118981482</v>
      </c>
      <c r="C7" s="8">
        <f t="shared" ca="1" si="1"/>
        <v>44850.442118981482</v>
      </c>
      <c r="D7" s="6" t="s">
        <v>516</v>
      </c>
      <c r="E7" s="6"/>
      <c r="F7" s="6"/>
      <c r="G7" s="6"/>
      <c r="H7" s="9"/>
      <c r="I7" s="75"/>
      <c r="J7" s="75"/>
      <c r="K7" s="75"/>
      <c r="L7" s="75"/>
      <c r="M7" s="75"/>
      <c r="N7" s="75"/>
      <c r="O7" s="75"/>
      <c r="P7" s="75"/>
      <c r="Q7" s="75"/>
      <c r="R7" s="77"/>
    </row>
    <row r="8" spans="1:23" ht="19.8" customHeight="1" thickBot="1" x14ac:dyDescent="0.35">
      <c r="A8" s="19">
        <v>4</v>
      </c>
      <c r="B8" s="10">
        <f t="shared" ca="1" si="0"/>
        <v>44850.444115625003</v>
      </c>
      <c r="C8" s="11">
        <f t="shared" ca="1" si="1"/>
        <v>44850.444115625003</v>
      </c>
      <c r="D8" s="12" t="s">
        <v>549</v>
      </c>
      <c r="E8" s="12"/>
      <c r="F8" s="12"/>
      <c r="G8" s="12"/>
      <c r="H8" s="9"/>
      <c r="I8" s="76"/>
      <c r="J8" s="76"/>
      <c r="K8" s="76"/>
      <c r="L8" s="76"/>
      <c r="M8" s="76"/>
      <c r="N8" s="76"/>
      <c r="O8" s="76"/>
      <c r="P8" s="76"/>
      <c r="Q8" s="76"/>
      <c r="R8" s="78"/>
    </row>
    <row r="9" spans="1:23" x14ac:dyDescent="0.3">
      <c r="B9" s="1" t="str">
        <f t="shared" ca="1" si="0"/>
        <v/>
      </c>
      <c r="C9" s="2" t="str">
        <f t="shared" ca="1" si="1"/>
        <v/>
      </c>
    </row>
    <row r="10" spans="1:23" x14ac:dyDescent="0.3">
      <c r="B10" s="1" t="str">
        <f t="shared" ca="1" si="0"/>
        <v/>
      </c>
      <c r="C10" s="2" t="str">
        <f t="shared" ca="1" si="1"/>
        <v/>
      </c>
      <c r="D10" s="4"/>
      <c r="E10" s="4"/>
    </row>
    <row r="11" spans="1:23" x14ac:dyDescent="0.3">
      <c r="B11" s="1" t="str">
        <f t="shared" ca="1" si="0"/>
        <v/>
      </c>
      <c r="C11" s="2" t="str">
        <f t="shared" ca="1" si="1"/>
        <v/>
      </c>
      <c r="D11" s="4"/>
      <c r="E11" s="4"/>
    </row>
    <row r="12" spans="1:23" x14ac:dyDescent="0.3">
      <c r="B12" s="1" t="str">
        <f t="shared" ca="1" si="0"/>
        <v/>
      </c>
      <c r="C12" s="2" t="str">
        <f t="shared" ca="1" si="1"/>
        <v/>
      </c>
      <c r="D12" s="4"/>
      <c r="E12" s="4"/>
    </row>
    <row r="13" spans="1:23" x14ac:dyDescent="0.3">
      <c r="B13" s="1" t="str">
        <f t="shared" ca="1" si="0"/>
        <v/>
      </c>
      <c r="C13" s="2" t="str">
        <f t="shared" ca="1" si="1"/>
        <v/>
      </c>
    </row>
    <row r="14" spans="1:23" x14ac:dyDescent="0.3">
      <c r="B14" s="1" t="str">
        <f t="shared" ca="1" si="0"/>
        <v/>
      </c>
      <c r="C14" s="2" t="str">
        <f t="shared" ca="1" si="1"/>
        <v/>
      </c>
    </row>
    <row r="15" spans="1:23" x14ac:dyDescent="0.3">
      <c r="B15" s="1" t="str">
        <f t="shared" ca="1" si="0"/>
        <v/>
      </c>
      <c r="C15" s="2" t="str">
        <f t="shared" ca="1" si="1"/>
        <v/>
      </c>
    </row>
    <row r="16" spans="1:23" x14ac:dyDescent="0.3">
      <c r="B16" s="1" t="str">
        <f t="shared" ca="1" si="0"/>
        <v/>
      </c>
      <c r="C16" s="2" t="str">
        <f t="shared" ca="1" si="1"/>
        <v/>
      </c>
    </row>
    <row r="17" spans="2:3" x14ac:dyDescent="0.3">
      <c r="B17" s="1" t="str">
        <f t="shared" ca="1" si="0"/>
        <v/>
      </c>
      <c r="C17" s="2" t="str">
        <f t="shared" ca="1" si="1"/>
        <v/>
      </c>
    </row>
    <row r="18" spans="2:3" x14ac:dyDescent="0.3">
      <c r="B18" s="1" t="str">
        <f t="shared" ca="1" si="0"/>
        <v/>
      </c>
      <c r="C18" s="2" t="str">
        <f t="shared" ca="1" si="1"/>
        <v/>
      </c>
    </row>
    <row r="19" spans="2:3" x14ac:dyDescent="0.3">
      <c r="B19" s="1" t="str">
        <f t="shared" ca="1" si="0"/>
        <v/>
      </c>
      <c r="C19" s="2" t="str">
        <f t="shared" ca="1" si="1"/>
        <v/>
      </c>
    </row>
    <row r="20" spans="2:3" x14ac:dyDescent="0.3">
      <c r="B20" s="1" t="str">
        <f t="shared" ca="1" si="0"/>
        <v/>
      </c>
      <c r="C20" s="2" t="str">
        <f t="shared" ca="1" si="1"/>
        <v/>
      </c>
    </row>
    <row r="21" spans="2:3" x14ac:dyDescent="0.3">
      <c r="B21" s="1" t="str">
        <f t="shared" ca="1" si="0"/>
        <v/>
      </c>
      <c r="C21" s="2" t="str">
        <f t="shared" ca="1" si="1"/>
        <v/>
      </c>
    </row>
    <row r="22" spans="2:3" x14ac:dyDescent="0.3">
      <c r="B22" s="1" t="str">
        <f t="shared" ca="1" si="0"/>
        <v/>
      </c>
      <c r="C22" s="2" t="str">
        <f t="shared" ca="1" si="1"/>
        <v/>
      </c>
    </row>
    <row r="23" spans="2:3" x14ac:dyDescent="0.3">
      <c r="B23" s="1" t="str">
        <f t="shared" ca="1" si="0"/>
        <v/>
      </c>
      <c r="C23" s="2" t="str">
        <f t="shared" ca="1" si="1"/>
        <v/>
      </c>
    </row>
    <row r="24" spans="2:3" x14ac:dyDescent="0.3">
      <c r="B24" s="1" t="str">
        <f t="shared" ca="1" si="0"/>
        <v/>
      </c>
      <c r="C24" s="2" t="str">
        <f t="shared" ca="1" si="1"/>
        <v/>
      </c>
    </row>
    <row r="25" spans="2:3" x14ac:dyDescent="0.3">
      <c r="B25" s="1" t="str">
        <f t="shared" ca="1" si="0"/>
        <v/>
      </c>
      <c r="C25" s="2" t="str">
        <f t="shared" ca="1" si="1"/>
        <v/>
      </c>
    </row>
    <row r="26" spans="2:3" x14ac:dyDescent="0.3">
      <c r="B26" s="1" t="str">
        <f t="shared" ca="1" si="0"/>
        <v/>
      </c>
      <c r="C26" s="2" t="str">
        <f t="shared" ca="1" si="1"/>
        <v/>
      </c>
    </row>
    <row r="27" spans="2:3" x14ac:dyDescent="0.3">
      <c r="B27" s="1" t="str">
        <f t="shared" ca="1" si="0"/>
        <v/>
      </c>
      <c r="C27" s="2" t="str">
        <f t="shared" ca="1" si="1"/>
        <v/>
      </c>
    </row>
    <row r="28" spans="2:3" x14ac:dyDescent="0.3">
      <c r="B28" s="1" t="str">
        <f t="shared" ca="1" si="0"/>
        <v/>
      </c>
      <c r="C28" s="2" t="str">
        <f t="shared" ca="1" si="1"/>
        <v/>
      </c>
    </row>
    <row r="29" spans="2:3" x14ac:dyDescent="0.3">
      <c r="B29" s="1" t="str">
        <f t="shared" ca="1" si="0"/>
        <v/>
      </c>
      <c r="C29" s="2" t="str">
        <f t="shared" ca="1" si="1"/>
        <v/>
      </c>
    </row>
    <row r="30" spans="2:3" x14ac:dyDescent="0.3">
      <c r="B30" s="1" t="str">
        <f t="shared" ca="1" si="0"/>
        <v/>
      </c>
      <c r="C30" s="2" t="str">
        <f t="shared" ca="1" si="1"/>
        <v/>
      </c>
    </row>
    <row r="31" spans="2:3" x14ac:dyDescent="0.3">
      <c r="B31" s="1" t="str">
        <f t="shared" ca="1" si="0"/>
        <v/>
      </c>
      <c r="C31" s="2" t="str">
        <f t="shared" ca="1" si="1"/>
        <v/>
      </c>
    </row>
    <row r="32" spans="2:3" x14ac:dyDescent="0.3">
      <c r="B32" s="1" t="str">
        <f t="shared" ca="1" si="0"/>
        <v/>
      </c>
      <c r="C32" s="2" t="str">
        <f t="shared" ca="1" si="1"/>
        <v/>
      </c>
    </row>
    <row r="33" spans="2:3" x14ac:dyDescent="0.3">
      <c r="B33" s="1" t="str">
        <f t="shared" ca="1" si="0"/>
        <v/>
      </c>
      <c r="C33" s="2" t="str">
        <f t="shared" ca="1" si="1"/>
        <v/>
      </c>
    </row>
    <row r="34" spans="2:3" x14ac:dyDescent="0.3">
      <c r="B34" s="1" t="str">
        <f t="shared" ca="1" si="0"/>
        <v/>
      </c>
      <c r="C34" s="2" t="str">
        <f t="shared" ca="1" si="1"/>
        <v/>
      </c>
    </row>
    <row r="35" spans="2:3" x14ac:dyDescent="0.3">
      <c r="B35" s="1" t="str">
        <f t="shared" ca="1" si="0"/>
        <v/>
      </c>
      <c r="C35" s="2" t="str">
        <f t="shared" ca="1" si="1"/>
        <v/>
      </c>
    </row>
    <row r="36" spans="2:3" x14ac:dyDescent="0.3">
      <c r="B36" s="1" t="str">
        <f t="shared" ca="1" si="0"/>
        <v/>
      </c>
      <c r="C36" s="2" t="str">
        <f t="shared" ca="1" si="1"/>
        <v/>
      </c>
    </row>
    <row r="37" spans="2:3" x14ac:dyDescent="0.3">
      <c r="B37" s="1" t="str">
        <f t="shared" ca="1" si="0"/>
        <v/>
      </c>
      <c r="C37" s="2" t="str">
        <f t="shared" ca="1" si="1"/>
        <v/>
      </c>
    </row>
    <row r="38" spans="2:3" x14ac:dyDescent="0.3">
      <c r="B38" s="1" t="str">
        <f t="shared" ca="1" si="0"/>
        <v/>
      </c>
      <c r="C38" s="2" t="str">
        <f t="shared" ca="1" si="1"/>
        <v/>
      </c>
    </row>
    <row r="39" spans="2:3" x14ac:dyDescent="0.3">
      <c r="B39" s="1" t="str">
        <f t="shared" ca="1" si="0"/>
        <v/>
      </c>
      <c r="C39" s="2" t="str">
        <f t="shared" ca="1" si="1"/>
        <v/>
      </c>
    </row>
    <row r="40" spans="2:3" x14ac:dyDescent="0.3">
      <c r="B40" s="1" t="str">
        <f t="shared" ca="1" si="0"/>
        <v/>
      </c>
      <c r="C40" s="2" t="str">
        <f t="shared" ca="1" si="1"/>
        <v/>
      </c>
    </row>
    <row r="41" spans="2:3" x14ac:dyDescent="0.3">
      <c r="B41" s="1" t="str">
        <f t="shared" ca="1" si="0"/>
        <v/>
      </c>
      <c r="C41" s="2" t="str">
        <f t="shared" ca="1" si="1"/>
        <v/>
      </c>
    </row>
    <row r="42" spans="2:3" x14ac:dyDescent="0.3">
      <c r="B42" s="1" t="str">
        <f t="shared" ca="1" si="0"/>
        <v/>
      </c>
      <c r="C42" s="2" t="str">
        <f t="shared" ca="1" si="1"/>
        <v/>
      </c>
    </row>
    <row r="43" spans="2:3" x14ac:dyDescent="0.3">
      <c r="B43" s="1" t="str">
        <f t="shared" ca="1" si="0"/>
        <v/>
      </c>
      <c r="C43" s="2" t="str">
        <f t="shared" ca="1" si="1"/>
        <v/>
      </c>
    </row>
    <row r="44" spans="2:3" x14ac:dyDescent="0.3">
      <c r="B44" s="1" t="str">
        <f t="shared" ca="1" si="0"/>
        <v/>
      </c>
      <c r="C44" s="2" t="str">
        <f t="shared" ca="1" si="1"/>
        <v/>
      </c>
    </row>
    <row r="45" spans="2:3" x14ac:dyDescent="0.3">
      <c r="B45" s="1" t="str">
        <f t="shared" ca="1" si="0"/>
        <v/>
      </c>
      <c r="C45" s="2" t="str">
        <f t="shared" ca="1" si="1"/>
        <v/>
      </c>
    </row>
    <row r="46" spans="2:3" x14ac:dyDescent="0.3">
      <c r="B46" s="1" t="str">
        <f t="shared" ca="1" si="0"/>
        <v/>
      </c>
      <c r="C46" s="2" t="str">
        <f t="shared" ca="1" si="1"/>
        <v/>
      </c>
    </row>
    <row r="47" spans="2:3" x14ac:dyDescent="0.3">
      <c r="B47" s="1" t="str">
        <f t="shared" ca="1" si="0"/>
        <v/>
      </c>
      <c r="C47" s="2" t="str">
        <f t="shared" ca="1" si="1"/>
        <v/>
      </c>
    </row>
    <row r="48" spans="2:3" x14ac:dyDescent="0.3">
      <c r="B48" s="1" t="str">
        <f t="shared" ca="1" si="0"/>
        <v/>
      </c>
      <c r="C48" s="2" t="str">
        <f t="shared" ca="1" si="1"/>
        <v/>
      </c>
    </row>
    <row r="49" spans="2:3" x14ac:dyDescent="0.3">
      <c r="B49" s="1" t="str">
        <f t="shared" ca="1" si="0"/>
        <v/>
      </c>
      <c r="C49" s="2" t="str">
        <f t="shared" ca="1" si="1"/>
        <v/>
      </c>
    </row>
    <row r="50" spans="2:3" x14ac:dyDescent="0.3">
      <c r="B50" s="1" t="str">
        <f t="shared" ca="1" si="0"/>
        <v/>
      </c>
      <c r="C50" s="2" t="str">
        <f t="shared" ca="1" si="1"/>
        <v/>
      </c>
    </row>
    <row r="51" spans="2:3" x14ac:dyDescent="0.3">
      <c r="B51" s="1" t="str">
        <f t="shared" ca="1" si="0"/>
        <v/>
      </c>
      <c r="C51" s="2" t="str">
        <f t="shared" ca="1" si="1"/>
        <v/>
      </c>
    </row>
    <row r="52" spans="2:3" x14ac:dyDescent="0.3">
      <c r="B52" s="1" t="str">
        <f t="shared" ca="1" si="0"/>
        <v/>
      </c>
      <c r="C52" s="2" t="str">
        <f t="shared" ca="1" si="1"/>
        <v/>
      </c>
    </row>
    <row r="53" spans="2:3" x14ac:dyDescent="0.3">
      <c r="B53" s="1" t="str">
        <f t="shared" ca="1" si="0"/>
        <v/>
      </c>
      <c r="C53" s="2" t="str">
        <f t="shared" ca="1" si="1"/>
        <v/>
      </c>
    </row>
    <row r="54" spans="2:3" x14ac:dyDescent="0.3">
      <c r="B54" s="1" t="str">
        <f t="shared" ca="1" si="0"/>
        <v/>
      </c>
      <c r="C54" s="2" t="str">
        <f t="shared" ca="1" si="1"/>
        <v/>
      </c>
    </row>
    <row r="55" spans="2:3" x14ac:dyDescent="0.3">
      <c r="B55" s="1"/>
      <c r="C55" s="2"/>
    </row>
    <row r="56" spans="2:3" x14ac:dyDescent="0.3">
      <c r="B56" s="1"/>
      <c r="C56" s="2"/>
    </row>
    <row r="57" spans="2:3" x14ac:dyDescent="0.3">
      <c r="B57" s="1" t="str">
        <f t="shared" ref="B57:B102" ca="1" si="2">IF(D57 &lt;&gt;"", IF(C57 ="", NOW(), C57), "")</f>
        <v/>
      </c>
      <c r="C57" s="2" t="str">
        <f t="shared" ref="C57:C102" ca="1" si="3">IF(D57 &lt;&gt;"", IF(C57 ="", NOW(), C57), "")</f>
        <v/>
      </c>
    </row>
    <row r="58" spans="2:3" x14ac:dyDescent="0.3">
      <c r="B58" s="1" t="str">
        <f t="shared" ca="1" si="2"/>
        <v/>
      </c>
      <c r="C58" s="2" t="str">
        <f t="shared" ca="1" si="3"/>
        <v/>
      </c>
    </row>
    <row r="59" spans="2:3" x14ac:dyDescent="0.3">
      <c r="B59" s="1" t="str">
        <f t="shared" ca="1" si="2"/>
        <v/>
      </c>
      <c r="C59" s="2" t="str">
        <f t="shared" ca="1" si="3"/>
        <v/>
      </c>
    </row>
    <row r="60" spans="2:3" x14ac:dyDescent="0.3">
      <c r="B60" s="1" t="str">
        <f t="shared" ca="1" si="2"/>
        <v/>
      </c>
      <c r="C60" s="2" t="str">
        <f t="shared" ca="1" si="3"/>
        <v/>
      </c>
    </row>
    <row r="61" spans="2:3" x14ac:dyDescent="0.3">
      <c r="B61" s="1" t="str">
        <f t="shared" ca="1" si="2"/>
        <v/>
      </c>
      <c r="C61" s="2" t="str">
        <f t="shared" ca="1" si="3"/>
        <v/>
      </c>
    </row>
    <row r="62" spans="2:3" x14ac:dyDescent="0.3">
      <c r="B62" s="1" t="str">
        <f t="shared" ca="1" si="2"/>
        <v/>
      </c>
      <c r="C62" s="2" t="str">
        <f t="shared" ca="1" si="3"/>
        <v/>
      </c>
    </row>
    <row r="63" spans="2:3" x14ac:dyDescent="0.3">
      <c r="B63" s="1" t="str">
        <f t="shared" ca="1" si="2"/>
        <v/>
      </c>
      <c r="C63" s="2" t="str">
        <f t="shared" ca="1" si="3"/>
        <v/>
      </c>
    </row>
    <row r="64" spans="2:3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ca="1" si="2"/>
        <v/>
      </c>
      <c r="C69" s="2" t="str">
        <f t="shared" ca="1" si="3"/>
        <v/>
      </c>
    </row>
    <row r="70" spans="2:3" x14ac:dyDescent="0.3">
      <c r="B70" s="1" t="str">
        <f t="shared" ca="1" si="2"/>
        <v/>
      </c>
      <c r="C70" s="2" t="str">
        <f t="shared" ca="1" si="3"/>
        <v/>
      </c>
    </row>
    <row r="71" spans="2:3" x14ac:dyDescent="0.3">
      <c r="B71" s="1" t="str">
        <f t="shared" ca="1" si="2"/>
        <v/>
      </c>
      <c r="C71" s="2" t="str">
        <f t="shared" ca="1" si="3"/>
        <v/>
      </c>
    </row>
    <row r="72" spans="2:3" x14ac:dyDescent="0.3">
      <c r="B72" s="1" t="str">
        <f t="shared" ca="1" si="2"/>
        <v/>
      </c>
      <c r="C72" s="2" t="str">
        <f t="shared" ca="1" si="3"/>
        <v/>
      </c>
    </row>
    <row r="73" spans="2:3" x14ac:dyDescent="0.3">
      <c r="B73" s="1" t="str">
        <f t="shared" ca="1" si="2"/>
        <v/>
      </c>
      <c r="C73" s="2" t="str">
        <f t="shared" ca="1" si="3"/>
        <v/>
      </c>
    </row>
    <row r="74" spans="2:3" x14ac:dyDescent="0.3">
      <c r="B74" s="1" t="str">
        <f t="shared" ca="1" si="2"/>
        <v/>
      </c>
      <c r="C74" s="2" t="str">
        <f t="shared" ca="1" si="3"/>
        <v/>
      </c>
    </row>
    <row r="75" spans="2:3" x14ac:dyDescent="0.3">
      <c r="B75" s="1" t="str">
        <f t="shared" ca="1" si="2"/>
        <v/>
      </c>
      <c r="C75" s="2" t="str">
        <f t="shared" ca="1" si="3"/>
        <v/>
      </c>
    </row>
    <row r="76" spans="2:3" x14ac:dyDescent="0.3">
      <c r="B76" s="1" t="str">
        <f t="shared" ca="1" si="2"/>
        <v/>
      </c>
      <c r="C76" s="2" t="str">
        <f t="shared" ca="1" si="3"/>
        <v/>
      </c>
    </row>
    <row r="77" spans="2:3" x14ac:dyDescent="0.3">
      <c r="B77" s="1" t="str">
        <f t="shared" ca="1" si="2"/>
        <v/>
      </c>
      <c r="C77" s="2" t="str">
        <f t="shared" ca="1" si="3"/>
        <v/>
      </c>
    </row>
    <row r="78" spans="2:3" x14ac:dyDescent="0.3">
      <c r="B78" s="1" t="str">
        <f t="shared" ca="1" si="2"/>
        <v/>
      </c>
      <c r="C78" s="2" t="str">
        <f t="shared" ca="1" si="3"/>
        <v/>
      </c>
    </row>
    <row r="79" spans="2:3" x14ac:dyDescent="0.3">
      <c r="B79" s="1" t="str">
        <f t="shared" ca="1" si="2"/>
        <v/>
      </c>
      <c r="C79" s="2" t="str">
        <f t="shared" ca="1" si="3"/>
        <v/>
      </c>
    </row>
    <row r="80" spans="2:3" x14ac:dyDescent="0.3">
      <c r="B80" s="1" t="str">
        <f t="shared" ca="1" si="2"/>
        <v/>
      </c>
      <c r="C80" s="2" t="str">
        <f t="shared" ca="1" si="3"/>
        <v/>
      </c>
    </row>
    <row r="81" spans="2:3" x14ac:dyDescent="0.3">
      <c r="B81" s="1" t="str">
        <f t="shared" ca="1" si="2"/>
        <v/>
      </c>
      <c r="C81" s="2" t="str">
        <f t="shared" ca="1" si="3"/>
        <v/>
      </c>
    </row>
    <row r="82" spans="2:3" x14ac:dyDescent="0.3">
      <c r="B82" s="1" t="str">
        <f t="shared" ca="1" si="2"/>
        <v/>
      </c>
      <c r="C82" s="2" t="str">
        <f t="shared" ca="1" si="3"/>
        <v/>
      </c>
    </row>
    <row r="83" spans="2:3" x14ac:dyDescent="0.3">
      <c r="B83" s="1" t="str">
        <f t="shared" ca="1" si="2"/>
        <v/>
      </c>
      <c r="C83" s="2" t="str">
        <f t="shared" ca="1" si="3"/>
        <v/>
      </c>
    </row>
    <row r="84" spans="2:3" x14ac:dyDescent="0.3">
      <c r="B84" s="1" t="str">
        <f t="shared" ca="1" si="2"/>
        <v/>
      </c>
      <c r="C84" s="2" t="str">
        <f t="shared" ca="1" si="3"/>
        <v/>
      </c>
    </row>
    <row r="85" spans="2:3" x14ac:dyDescent="0.3">
      <c r="B85" s="1" t="str">
        <f t="shared" ca="1" si="2"/>
        <v/>
      </c>
      <c r="C85" s="2" t="str">
        <f t="shared" ca="1" si="3"/>
        <v/>
      </c>
    </row>
    <row r="86" spans="2:3" x14ac:dyDescent="0.3">
      <c r="B86" s="1" t="str">
        <f t="shared" ca="1" si="2"/>
        <v/>
      </c>
      <c r="C86" s="2" t="str">
        <f t="shared" ca="1" si="3"/>
        <v/>
      </c>
    </row>
    <row r="87" spans="2:3" x14ac:dyDescent="0.3">
      <c r="B87" s="1" t="str">
        <f t="shared" ca="1" si="2"/>
        <v/>
      </c>
      <c r="C87" s="2" t="str">
        <f t="shared" ca="1" si="3"/>
        <v/>
      </c>
    </row>
    <row r="88" spans="2:3" x14ac:dyDescent="0.3">
      <c r="B88" s="1" t="str">
        <f t="shared" ca="1" si="2"/>
        <v/>
      </c>
      <c r="C88" s="2" t="str">
        <f t="shared" ca="1" si="3"/>
        <v/>
      </c>
    </row>
    <row r="89" spans="2:3" x14ac:dyDescent="0.3">
      <c r="B89" s="1" t="str">
        <f t="shared" ca="1" si="2"/>
        <v/>
      </c>
      <c r="C89" s="2" t="str">
        <f t="shared" ca="1" si="3"/>
        <v/>
      </c>
    </row>
    <row r="90" spans="2:3" x14ac:dyDescent="0.3">
      <c r="B90" s="1" t="str">
        <f t="shared" ca="1" si="2"/>
        <v/>
      </c>
      <c r="C90" s="2" t="str">
        <f t="shared" ca="1" si="3"/>
        <v/>
      </c>
    </row>
    <row r="91" spans="2:3" x14ac:dyDescent="0.3">
      <c r="B91" s="1" t="str">
        <f t="shared" ca="1" si="2"/>
        <v/>
      </c>
      <c r="C91" s="2" t="str">
        <f t="shared" ca="1" si="3"/>
        <v/>
      </c>
    </row>
    <row r="92" spans="2:3" x14ac:dyDescent="0.3">
      <c r="B92" s="1" t="str">
        <f t="shared" ca="1" si="2"/>
        <v/>
      </c>
      <c r="C92" s="2" t="str">
        <f t="shared" ca="1" si="3"/>
        <v/>
      </c>
    </row>
    <row r="93" spans="2:3" x14ac:dyDescent="0.3">
      <c r="B93" s="1" t="str">
        <f t="shared" ca="1" si="2"/>
        <v/>
      </c>
      <c r="C93" s="2" t="str">
        <f t="shared" ca="1" si="3"/>
        <v/>
      </c>
    </row>
    <row r="94" spans="2:3" x14ac:dyDescent="0.3">
      <c r="B94" s="1" t="str">
        <f t="shared" ca="1" si="2"/>
        <v/>
      </c>
      <c r="C94" s="2" t="str">
        <f t="shared" ca="1" si="3"/>
        <v/>
      </c>
    </row>
    <row r="95" spans="2:3" x14ac:dyDescent="0.3">
      <c r="B95" s="1" t="str">
        <f t="shared" ca="1" si="2"/>
        <v/>
      </c>
      <c r="C95" s="2" t="str">
        <f t="shared" ca="1" si="3"/>
        <v/>
      </c>
    </row>
    <row r="96" spans="2:3" x14ac:dyDescent="0.3">
      <c r="B96" s="1" t="str">
        <f t="shared" ca="1" si="2"/>
        <v/>
      </c>
      <c r="C96" s="2" t="str">
        <f t="shared" ca="1" si="3"/>
        <v/>
      </c>
    </row>
    <row r="97" spans="2:3" x14ac:dyDescent="0.3">
      <c r="B97" s="1" t="str">
        <f t="shared" ca="1" si="2"/>
        <v/>
      </c>
      <c r="C97" s="2" t="str">
        <f t="shared" ca="1" si="3"/>
        <v/>
      </c>
    </row>
    <row r="98" spans="2:3" x14ac:dyDescent="0.3">
      <c r="B98" s="1" t="str">
        <f t="shared" ca="1" si="2"/>
        <v/>
      </c>
      <c r="C98" s="2" t="str">
        <f t="shared" ca="1" si="3"/>
        <v/>
      </c>
    </row>
    <row r="99" spans="2:3" x14ac:dyDescent="0.3">
      <c r="B99" s="1" t="str">
        <f t="shared" ca="1" si="2"/>
        <v/>
      </c>
      <c r="C99" s="2" t="str">
        <f t="shared" ca="1" si="3"/>
        <v/>
      </c>
    </row>
    <row r="100" spans="2:3" x14ac:dyDescent="0.3">
      <c r="B100" s="1" t="str">
        <f t="shared" ca="1" si="2"/>
        <v/>
      </c>
      <c r="C100" s="2" t="str">
        <f t="shared" ca="1" si="3"/>
        <v/>
      </c>
    </row>
    <row r="101" spans="2:3" x14ac:dyDescent="0.3">
      <c r="B101" s="1" t="str">
        <f t="shared" ca="1" si="2"/>
        <v/>
      </c>
      <c r="C101" s="2" t="str">
        <f t="shared" ca="1" si="3"/>
        <v/>
      </c>
    </row>
    <row r="102" spans="2:3" x14ac:dyDescent="0.3">
      <c r="B102" s="1" t="str">
        <f t="shared" ca="1" si="2"/>
        <v/>
      </c>
      <c r="C102" s="2" t="str">
        <f t="shared" ca="1" si="3"/>
        <v/>
      </c>
    </row>
  </sheetData>
  <mergeCells count="15">
    <mergeCell ref="N4:R4"/>
    <mergeCell ref="N5:R5"/>
    <mergeCell ref="N6:R6"/>
    <mergeCell ref="N7:R7"/>
    <mergeCell ref="N8:R8"/>
    <mergeCell ref="I4:M4"/>
    <mergeCell ref="I5:M5"/>
    <mergeCell ref="I6:M6"/>
    <mergeCell ref="I7:M7"/>
    <mergeCell ref="I8:M8"/>
    <mergeCell ref="A1:I2"/>
    <mergeCell ref="J1:J2"/>
    <mergeCell ref="K1:M2"/>
    <mergeCell ref="N1:R3"/>
    <mergeCell ref="I3:M3"/>
  </mergeCells>
  <conditionalFormatting sqref="D40:D1048576 D7:D9 D13:D38">
    <cfRule type="duplicateValues" dxfId="37" priority="30"/>
  </conditionalFormatting>
  <conditionalFormatting sqref="D7:D9 D13:D1048576">
    <cfRule type="duplicateValues" dxfId="36" priority="29"/>
  </conditionalFormatting>
  <conditionalFormatting sqref="E5">
    <cfRule type="duplicateValues" dxfId="35" priority="28"/>
  </conditionalFormatting>
  <conditionalFormatting sqref="E5">
    <cfRule type="duplicateValues" dxfId="34" priority="27"/>
  </conditionalFormatting>
  <conditionalFormatting sqref="E6">
    <cfRule type="duplicateValues" dxfId="33" priority="26"/>
  </conditionalFormatting>
  <conditionalFormatting sqref="E6">
    <cfRule type="duplicateValues" dxfId="32" priority="25"/>
  </conditionalFormatting>
  <conditionalFormatting sqref="E4">
    <cfRule type="duplicateValues" dxfId="31" priority="24"/>
  </conditionalFormatting>
  <conditionalFormatting sqref="E4">
    <cfRule type="duplicateValues" dxfId="30" priority="23"/>
  </conditionalFormatting>
  <conditionalFormatting sqref="J1">
    <cfRule type="duplicateValues" dxfId="29" priority="22"/>
  </conditionalFormatting>
  <conditionalFormatting sqref="J1">
    <cfRule type="duplicateValues" dxfId="28" priority="21"/>
  </conditionalFormatting>
  <conditionalFormatting sqref="K1">
    <cfRule type="duplicateValues" dxfId="27" priority="20"/>
  </conditionalFormatting>
  <conditionalFormatting sqref="K1:M2">
    <cfRule type="duplicateValues" dxfId="26" priority="19"/>
  </conditionalFormatting>
  <conditionalFormatting sqref="K1:M2">
    <cfRule type="duplicateValues" dxfId="25" priority="18"/>
  </conditionalFormatting>
  <conditionalFormatting sqref="K1:M2 D7:D8">
    <cfRule type="duplicateValues" dxfId="24" priority="17"/>
  </conditionalFormatting>
  <conditionalFormatting sqref="D11">
    <cfRule type="duplicateValues" dxfId="23" priority="16"/>
  </conditionalFormatting>
  <conditionalFormatting sqref="D11">
    <cfRule type="duplicateValues" dxfId="22" priority="15"/>
  </conditionalFormatting>
  <conditionalFormatting sqref="D12">
    <cfRule type="duplicateValues" dxfId="21" priority="14"/>
  </conditionalFormatting>
  <conditionalFormatting sqref="D12">
    <cfRule type="duplicateValues" dxfId="20" priority="13"/>
  </conditionalFormatting>
  <conditionalFormatting sqref="D10">
    <cfRule type="duplicateValues" dxfId="19" priority="12"/>
  </conditionalFormatting>
  <conditionalFormatting sqref="D10">
    <cfRule type="duplicateValues" dxfId="18" priority="11"/>
  </conditionalFormatting>
  <conditionalFormatting sqref="E10:E12">
    <cfRule type="duplicateValues" dxfId="17" priority="10"/>
  </conditionalFormatting>
  <conditionalFormatting sqref="E10:E12">
    <cfRule type="duplicateValues" dxfId="16" priority="9"/>
  </conditionalFormatting>
  <conditionalFormatting sqref="E10:E12">
    <cfRule type="duplicateValues" dxfId="15" priority="8"/>
  </conditionalFormatting>
  <conditionalFormatting sqref="D4">
    <cfRule type="duplicateValues" dxfId="14" priority="7"/>
  </conditionalFormatting>
  <conditionalFormatting sqref="D4:D6">
    <cfRule type="duplicateValues" dxfId="13" priority="6"/>
  </conditionalFormatting>
  <conditionalFormatting sqref="D5:D6">
    <cfRule type="duplicateValues" dxfId="12" priority="5"/>
  </conditionalFormatting>
  <conditionalFormatting sqref="D5:D6">
    <cfRule type="duplicateValues" dxfId="11" priority="4"/>
  </conditionalFormatting>
  <conditionalFormatting sqref="D5:D6">
    <cfRule type="duplicateValues" dxfId="10" priority="3"/>
  </conditionalFormatting>
  <dataValidations count="1">
    <dataValidation type="list" allowBlank="1" showInputMessage="1" showErrorMessage="1" sqref="H4:H8" xr:uid="{D398F2FA-F806-4EA2-8C2B-B22E70E8C00F}">
      <formula1>$T$1:$W$1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100"/>
  <sheetViews>
    <sheetView workbookViewId="0">
      <selection activeCell="J30" sqref="J30"/>
    </sheetView>
  </sheetViews>
  <sheetFormatPr defaultRowHeight="14.4" x14ac:dyDescent="0.3"/>
  <cols>
    <col min="2" max="3" width="15.109375" bestFit="1" customWidth="1"/>
    <col min="4" max="4" width="16.5546875" bestFit="1" customWidth="1"/>
  </cols>
  <sheetData>
    <row r="1" spans="1:9" x14ac:dyDescent="0.3">
      <c r="A1" s="87" t="s">
        <v>565</v>
      </c>
      <c r="B1" s="88"/>
      <c r="C1" s="88"/>
      <c r="D1" s="88"/>
      <c r="E1" s="88"/>
      <c r="F1" s="88"/>
      <c r="G1" s="88"/>
      <c r="H1" s="88"/>
      <c r="I1" s="89"/>
    </row>
    <row r="2" spans="1:9" x14ac:dyDescent="0.3">
      <c r="A2" s="18" t="s">
        <v>24</v>
      </c>
      <c r="B2" s="6" t="s">
        <v>16</v>
      </c>
      <c r="C2" s="6" t="s">
        <v>399</v>
      </c>
      <c r="D2" s="6" t="s">
        <v>520</v>
      </c>
      <c r="E2" s="6"/>
      <c r="F2" s="6"/>
      <c r="G2" s="6"/>
      <c r="H2" s="6" t="s">
        <v>568</v>
      </c>
      <c r="I2" s="22" t="s">
        <v>569</v>
      </c>
    </row>
    <row r="3" spans="1:9" x14ac:dyDescent="0.3">
      <c r="A3" s="18">
        <v>1</v>
      </c>
      <c r="B3" s="7">
        <f ca="1">IF(D3 &lt;&gt;"", IF(C3 ="", NOW(), C3), "")</f>
        <v>44850.540565393516</v>
      </c>
      <c r="C3" s="8">
        <f ca="1">IF(D3 &lt;&gt;"", IF(C3 ="", NOW(), C3), "")</f>
        <v>44850.540565393516</v>
      </c>
      <c r="D3" s="6" t="s">
        <v>522</v>
      </c>
      <c r="E3" s="6" t="s">
        <v>523</v>
      </c>
      <c r="F3" s="6" t="s">
        <v>533</v>
      </c>
      <c r="G3" s="6" t="s">
        <v>535</v>
      </c>
      <c r="H3" s="6"/>
      <c r="I3" s="22"/>
    </row>
    <row r="4" spans="1:9" x14ac:dyDescent="0.3">
      <c r="A4" s="18">
        <v>2</v>
      </c>
      <c r="B4" s="7">
        <f t="shared" ref="B4:B52" ca="1" si="0">IF(D4 &lt;&gt;"", IF(C4 ="", NOW(), C4), "")</f>
        <v>44850.54059016204</v>
      </c>
      <c r="C4" s="8">
        <f t="shared" ref="C4:C52" ca="1" si="1">IF(D4 &lt;&gt;"", IF(C4 ="", NOW(), C4), "")</f>
        <v>44850.54059016204</v>
      </c>
      <c r="D4" s="6" t="s">
        <v>521</v>
      </c>
      <c r="E4" s="6" t="s">
        <v>524</v>
      </c>
      <c r="F4" s="6" t="s">
        <v>533</v>
      </c>
      <c r="G4" s="6" t="s">
        <v>535</v>
      </c>
      <c r="H4" s="6"/>
      <c r="I4" s="22"/>
    </row>
    <row r="5" spans="1:9" x14ac:dyDescent="0.3">
      <c r="A5" s="18">
        <v>3</v>
      </c>
      <c r="B5" s="7">
        <f t="shared" ca="1" si="0"/>
        <v>44850.543147916665</v>
      </c>
      <c r="C5" s="8">
        <f t="shared" ca="1" si="1"/>
        <v>44850.543147916665</v>
      </c>
      <c r="D5" s="6" t="s">
        <v>529</v>
      </c>
      <c r="E5" s="6" t="s">
        <v>525</v>
      </c>
      <c r="F5" s="6" t="s">
        <v>533</v>
      </c>
      <c r="G5" s="6" t="s">
        <v>535</v>
      </c>
      <c r="H5" s="6"/>
      <c r="I5" s="22"/>
    </row>
    <row r="6" spans="1:9" x14ac:dyDescent="0.3">
      <c r="A6" s="18">
        <v>4</v>
      </c>
      <c r="B6" s="7">
        <f t="shared" ca="1" si="0"/>
        <v>44850.54317326389</v>
      </c>
      <c r="C6" s="8">
        <f t="shared" ca="1" si="1"/>
        <v>44850.54317326389</v>
      </c>
      <c r="D6" s="6" t="s">
        <v>530</v>
      </c>
      <c r="E6" s="6" t="s">
        <v>526</v>
      </c>
      <c r="F6" s="6" t="s">
        <v>533</v>
      </c>
      <c r="G6" s="6" t="s">
        <v>535</v>
      </c>
      <c r="H6" s="6"/>
      <c r="I6" s="22"/>
    </row>
    <row r="7" spans="1:9" x14ac:dyDescent="0.3">
      <c r="A7" s="18">
        <v>5</v>
      </c>
      <c r="B7" s="7">
        <f t="shared" ca="1" si="0"/>
        <v>44850.545456018517</v>
      </c>
      <c r="C7" s="8">
        <f t="shared" ca="1" si="1"/>
        <v>44850.545456018517</v>
      </c>
      <c r="D7" s="6" t="s">
        <v>531</v>
      </c>
      <c r="E7" s="6" t="s">
        <v>527</v>
      </c>
      <c r="F7" s="6" t="s">
        <v>534</v>
      </c>
      <c r="G7" s="6" t="s">
        <v>535</v>
      </c>
      <c r="H7" s="6"/>
      <c r="I7" s="22"/>
    </row>
    <row r="8" spans="1:9" x14ac:dyDescent="0.3">
      <c r="A8" s="18">
        <v>6</v>
      </c>
      <c r="B8" s="7">
        <f t="shared" ca="1" si="0"/>
        <v>44850.551766898148</v>
      </c>
      <c r="C8" s="8">
        <f t="shared" ca="1" si="1"/>
        <v>44850.551766898148</v>
      </c>
      <c r="D8" s="6" t="s">
        <v>532</v>
      </c>
      <c r="E8" s="6" t="s">
        <v>528</v>
      </c>
      <c r="F8" s="6" t="s">
        <v>534</v>
      </c>
      <c r="G8" s="6" t="s">
        <v>535</v>
      </c>
      <c r="H8" s="6"/>
      <c r="I8" s="22"/>
    </row>
    <row r="9" spans="1:9" x14ac:dyDescent="0.3">
      <c r="A9" s="18">
        <v>7</v>
      </c>
      <c r="B9" s="7">
        <f t="shared" ca="1" si="0"/>
        <v>44850.582671759257</v>
      </c>
      <c r="C9" s="8">
        <f t="shared" ca="1" si="1"/>
        <v>44850.582671759257</v>
      </c>
      <c r="D9" s="6" t="s">
        <v>537</v>
      </c>
      <c r="E9" s="6" t="s">
        <v>523</v>
      </c>
      <c r="F9" s="6" t="s">
        <v>533</v>
      </c>
      <c r="G9" s="6" t="s">
        <v>536</v>
      </c>
      <c r="H9" s="6" t="s">
        <v>519</v>
      </c>
      <c r="I9" s="22"/>
    </row>
    <row r="10" spans="1:9" x14ac:dyDescent="0.3">
      <c r="A10" s="18">
        <v>8</v>
      </c>
      <c r="B10" s="7">
        <f t="shared" ca="1" si="0"/>
        <v>44850.582710995368</v>
      </c>
      <c r="C10" s="8">
        <f t="shared" ca="1" si="1"/>
        <v>44850.582710995368</v>
      </c>
      <c r="D10" s="6" t="s">
        <v>538</v>
      </c>
      <c r="E10" s="6" t="s">
        <v>524</v>
      </c>
      <c r="F10" s="6" t="s">
        <v>533</v>
      </c>
      <c r="G10" s="6" t="s">
        <v>536</v>
      </c>
      <c r="H10" s="6" t="s">
        <v>518</v>
      </c>
      <c r="I10" s="22"/>
    </row>
    <row r="11" spans="1:9" x14ac:dyDescent="0.3">
      <c r="A11" s="18">
        <v>9</v>
      </c>
      <c r="B11" s="7">
        <f t="shared" ca="1" si="0"/>
        <v>44850.582956018516</v>
      </c>
      <c r="C11" s="8">
        <f t="shared" ca="1" si="1"/>
        <v>44850.582956018516</v>
      </c>
      <c r="D11" s="6" t="s">
        <v>539</v>
      </c>
      <c r="E11" s="6" t="s">
        <v>525</v>
      </c>
      <c r="F11" s="6" t="s">
        <v>533</v>
      </c>
      <c r="G11" s="6" t="s">
        <v>536</v>
      </c>
      <c r="H11" s="6" t="s">
        <v>518</v>
      </c>
      <c r="I11" s="22"/>
    </row>
    <row r="12" spans="1:9" x14ac:dyDescent="0.3">
      <c r="A12" s="18">
        <v>10</v>
      </c>
      <c r="B12" s="7">
        <f t="shared" ca="1" si="0"/>
        <v>44850.583295254626</v>
      </c>
      <c r="C12" s="8">
        <f t="shared" ca="1" si="1"/>
        <v>44850.583295254626</v>
      </c>
      <c r="D12" s="6" t="s">
        <v>540</v>
      </c>
      <c r="E12" s="6" t="s">
        <v>526</v>
      </c>
      <c r="F12" s="6" t="s">
        <v>533</v>
      </c>
      <c r="G12" s="6" t="s">
        <v>536</v>
      </c>
      <c r="H12" s="6" t="s">
        <v>519</v>
      </c>
      <c r="I12" s="22"/>
    </row>
    <row r="13" spans="1:9" x14ac:dyDescent="0.3">
      <c r="A13" s="18">
        <v>11</v>
      </c>
      <c r="B13" s="7">
        <f t="shared" ca="1" si="0"/>
        <v>44850.584126851849</v>
      </c>
      <c r="C13" s="8">
        <f t="shared" ca="1" si="1"/>
        <v>44850.584126851849</v>
      </c>
      <c r="D13" s="6" t="s">
        <v>541</v>
      </c>
      <c r="E13" s="6" t="s">
        <v>526</v>
      </c>
      <c r="F13" s="6" t="s">
        <v>533</v>
      </c>
      <c r="G13" s="6" t="s">
        <v>536</v>
      </c>
      <c r="H13" s="6"/>
      <c r="I13" s="22"/>
    </row>
    <row r="14" spans="1:9" x14ac:dyDescent="0.3">
      <c r="A14" s="18">
        <v>12</v>
      </c>
      <c r="B14" s="7">
        <f t="shared" ca="1" si="0"/>
        <v>44850.584317361114</v>
      </c>
      <c r="C14" s="8">
        <f t="shared" ca="1" si="1"/>
        <v>44850.584317361114</v>
      </c>
      <c r="D14" s="6" t="s">
        <v>542</v>
      </c>
      <c r="E14" s="6" t="s">
        <v>550</v>
      </c>
      <c r="F14" s="6" t="s">
        <v>567</v>
      </c>
      <c r="G14" s="6" t="s">
        <v>566</v>
      </c>
      <c r="H14" s="6" t="s">
        <v>518</v>
      </c>
      <c r="I14" s="22"/>
    </row>
    <row r="15" spans="1:9" x14ac:dyDescent="0.3">
      <c r="A15" s="18">
        <v>13</v>
      </c>
      <c r="B15" s="7">
        <f t="shared" ca="1" si="0"/>
        <v>44850.58453148148</v>
      </c>
      <c r="C15" s="8">
        <f t="shared" ca="1" si="1"/>
        <v>44850.58453148148</v>
      </c>
      <c r="D15" s="6" t="s">
        <v>543</v>
      </c>
      <c r="E15" s="6" t="s">
        <v>552</v>
      </c>
      <c r="F15" s="6" t="s">
        <v>567</v>
      </c>
      <c r="G15" s="6" t="s">
        <v>566</v>
      </c>
      <c r="H15" s="6" t="s">
        <v>519</v>
      </c>
      <c r="I15" s="22"/>
    </row>
    <row r="16" spans="1:9" x14ac:dyDescent="0.3">
      <c r="A16" s="18">
        <v>14</v>
      </c>
      <c r="B16" s="7">
        <f t="shared" ca="1" si="0"/>
        <v>44850.584625694442</v>
      </c>
      <c r="C16" s="8">
        <f t="shared" ca="1" si="1"/>
        <v>44850.584625694442</v>
      </c>
      <c r="D16" s="6" t="s">
        <v>545</v>
      </c>
      <c r="E16" s="6" t="s">
        <v>551</v>
      </c>
      <c r="F16" s="6" t="s">
        <v>567</v>
      </c>
      <c r="G16" s="6" t="s">
        <v>566</v>
      </c>
      <c r="H16" s="6" t="s">
        <v>519</v>
      </c>
      <c r="I16" s="22"/>
    </row>
    <row r="17" spans="1:9" x14ac:dyDescent="0.3">
      <c r="A17" s="18">
        <v>15</v>
      </c>
      <c r="B17" s="7">
        <f t="shared" ca="1" si="0"/>
        <v>44850.58529884259</v>
      </c>
      <c r="C17" s="8">
        <f t="shared" ca="1" si="1"/>
        <v>44850.58529884259</v>
      </c>
      <c r="D17" s="6" t="s">
        <v>544</v>
      </c>
      <c r="E17" s="6" t="s">
        <v>553</v>
      </c>
      <c r="F17" s="6" t="s">
        <v>567</v>
      </c>
      <c r="G17" s="6" t="s">
        <v>566</v>
      </c>
      <c r="H17" s="6" t="s">
        <v>518</v>
      </c>
      <c r="I17" s="22"/>
    </row>
    <row r="18" spans="1:9" x14ac:dyDescent="0.3">
      <c r="A18" s="18">
        <v>16</v>
      </c>
      <c r="B18" s="7">
        <f t="shared" ca="1" si="0"/>
        <v>44850.585593171294</v>
      </c>
      <c r="C18" s="8">
        <f t="shared" ca="1" si="1"/>
        <v>44850.585593171294</v>
      </c>
      <c r="D18" s="6" t="s">
        <v>546</v>
      </c>
      <c r="E18" s="6" t="s">
        <v>554</v>
      </c>
      <c r="F18" s="6" t="s">
        <v>567</v>
      </c>
      <c r="G18" s="6" t="s">
        <v>566</v>
      </c>
      <c r="H18" s="6"/>
      <c r="I18" s="22"/>
    </row>
    <row r="19" spans="1:9" ht="15" thickBot="1" x14ac:dyDescent="0.35">
      <c r="A19" s="19">
        <v>17</v>
      </c>
      <c r="B19" s="10">
        <f t="shared" ca="1" si="0"/>
        <v>44850.586015624998</v>
      </c>
      <c r="C19" s="11">
        <f t="shared" ca="1" si="1"/>
        <v>44850.586015624998</v>
      </c>
      <c r="D19" s="12" t="s">
        <v>547</v>
      </c>
      <c r="E19" s="12" t="s">
        <v>555</v>
      </c>
      <c r="F19" s="12" t="s">
        <v>567</v>
      </c>
      <c r="G19" s="12" t="s">
        <v>566</v>
      </c>
      <c r="H19" s="12"/>
      <c r="I19" s="23"/>
    </row>
    <row r="20" spans="1:9" x14ac:dyDescent="0.3">
      <c r="B20" s="1" t="str">
        <f t="shared" ca="1" si="0"/>
        <v/>
      </c>
      <c r="C20" s="2" t="str">
        <f t="shared" ca="1" si="1"/>
        <v/>
      </c>
    </row>
    <row r="21" spans="1:9" x14ac:dyDescent="0.3">
      <c r="B21" s="1" t="str">
        <f t="shared" ca="1" si="0"/>
        <v/>
      </c>
      <c r="C21" s="2" t="str">
        <f t="shared" ca="1" si="1"/>
        <v/>
      </c>
    </row>
    <row r="22" spans="1:9" x14ac:dyDescent="0.3">
      <c r="B22" s="1" t="str">
        <f t="shared" ca="1" si="0"/>
        <v/>
      </c>
      <c r="C22" s="2" t="str">
        <f t="shared" ca="1" si="1"/>
        <v/>
      </c>
    </row>
    <row r="23" spans="1:9" x14ac:dyDescent="0.3">
      <c r="B23" s="1" t="str">
        <f t="shared" ca="1" si="0"/>
        <v/>
      </c>
      <c r="C23" s="2" t="str">
        <f t="shared" ca="1" si="1"/>
        <v/>
      </c>
    </row>
    <row r="24" spans="1:9" x14ac:dyDescent="0.3">
      <c r="B24" s="1" t="str">
        <f t="shared" ca="1" si="0"/>
        <v/>
      </c>
      <c r="C24" s="2" t="str">
        <f t="shared" ca="1" si="1"/>
        <v/>
      </c>
    </row>
    <row r="25" spans="1:9" x14ac:dyDescent="0.3">
      <c r="B25" s="1" t="str">
        <f t="shared" ca="1" si="0"/>
        <v/>
      </c>
      <c r="C25" s="2" t="str">
        <f t="shared" ca="1" si="1"/>
        <v/>
      </c>
    </row>
    <row r="26" spans="1:9" x14ac:dyDescent="0.3">
      <c r="B26" s="1" t="str">
        <f t="shared" ca="1" si="0"/>
        <v/>
      </c>
      <c r="C26" s="2" t="str">
        <f t="shared" ca="1" si="1"/>
        <v/>
      </c>
    </row>
    <row r="27" spans="1:9" x14ac:dyDescent="0.3">
      <c r="B27" s="1" t="str">
        <f t="shared" ca="1" si="0"/>
        <v/>
      </c>
      <c r="C27" s="2" t="str">
        <f t="shared" ca="1" si="1"/>
        <v/>
      </c>
    </row>
    <row r="28" spans="1:9" x14ac:dyDescent="0.3">
      <c r="B28" s="1" t="str">
        <f t="shared" ca="1" si="0"/>
        <v/>
      </c>
      <c r="C28" s="2" t="str">
        <f t="shared" ca="1" si="1"/>
        <v/>
      </c>
    </row>
    <row r="29" spans="1:9" x14ac:dyDescent="0.3">
      <c r="B29" s="1" t="str">
        <f t="shared" ca="1" si="0"/>
        <v/>
      </c>
      <c r="C29" s="2" t="str">
        <f t="shared" ca="1" si="1"/>
        <v/>
      </c>
    </row>
    <row r="30" spans="1:9" x14ac:dyDescent="0.3">
      <c r="B30" s="1" t="str">
        <f t="shared" ca="1" si="0"/>
        <v/>
      </c>
      <c r="C30" s="2" t="str">
        <f t="shared" ca="1" si="1"/>
        <v/>
      </c>
    </row>
    <row r="31" spans="1:9" x14ac:dyDescent="0.3">
      <c r="B31" s="1" t="str">
        <f t="shared" ca="1" si="0"/>
        <v/>
      </c>
      <c r="C31" s="2" t="str">
        <f t="shared" ca="1" si="1"/>
        <v/>
      </c>
    </row>
    <row r="32" spans="1:9" x14ac:dyDescent="0.3">
      <c r="B32" s="1" t="str">
        <f t="shared" ca="1" si="0"/>
        <v/>
      </c>
      <c r="C32" s="2" t="str">
        <f t="shared" ca="1" si="1"/>
        <v/>
      </c>
    </row>
    <row r="33" spans="2:3" x14ac:dyDescent="0.3">
      <c r="B33" s="1" t="str">
        <f t="shared" ca="1" si="0"/>
        <v/>
      </c>
      <c r="C33" s="2" t="str">
        <f t="shared" ca="1" si="1"/>
        <v/>
      </c>
    </row>
    <row r="34" spans="2:3" x14ac:dyDescent="0.3">
      <c r="B34" s="1" t="str">
        <f t="shared" ca="1" si="0"/>
        <v/>
      </c>
      <c r="C34" s="2" t="str">
        <f t="shared" ca="1" si="1"/>
        <v/>
      </c>
    </row>
    <row r="35" spans="2:3" x14ac:dyDescent="0.3">
      <c r="B35" s="1" t="str">
        <f t="shared" ca="1" si="0"/>
        <v/>
      </c>
      <c r="C35" s="2" t="str">
        <f t="shared" ca="1" si="1"/>
        <v/>
      </c>
    </row>
    <row r="36" spans="2:3" x14ac:dyDescent="0.3">
      <c r="B36" s="1" t="str">
        <f t="shared" ca="1" si="0"/>
        <v/>
      </c>
      <c r="C36" s="2" t="str">
        <f t="shared" ca="1" si="1"/>
        <v/>
      </c>
    </row>
    <row r="37" spans="2:3" x14ac:dyDescent="0.3">
      <c r="B37" s="1" t="str">
        <f t="shared" ca="1" si="0"/>
        <v/>
      </c>
      <c r="C37" s="2" t="str">
        <f t="shared" ca="1" si="1"/>
        <v/>
      </c>
    </row>
    <row r="38" spans="2:3" x14ac:dyDescent="0.3">
      <c r="B38" s="1" t="str">
        <f t="shared" ca="1" si="0"/>
        <v/>
      </c>
      <c r="C38" s="2" t="str">
        <f t="shared" ca="1" si="1"/>
        <v/>
      </c>
    </row>
    <row r="39" spans="2:3" x14ac:dyDescent="0.3">
      <c r="B39" s="1" t="str">
        <f t="shared" ca="1" si="0"/>
        <v/>
      </c>
      <c r="C39" s="2" t="str">
        <f t="shared" ca="1" si="1"/>
        <v/>
      </c>
    </row>
    <row r="40" spans="2:3" x14ac:dyDescent="0.3">
      <c r="B40" s="1" t="str">
        <f t="shared" ca="1" si="0"/>
        <v/>
      </c>
      <c r="C40" s="2" t="str">
        <f t="shared" ca="1" si="1"/>
        <v/>
      </c>
    </row>
    <row r="41" spans="2:3" x14ac:dyDescent="0.3">
      <c r="B41" s="1" t="str">
        <f t="shared" ca="1" si="0"/>
        <v/>
      </c>
      <c r="C41" s="2" t="str">
        <f t="shared" ca="1" si="1"/>
        <v/>
      </c>
    </row>
    <row r="42" spans="2:3" x14ac:dyDescent="0.3">
      <c r="B42" s="1" t="str">
        <f t="shared" ca="1" si="0"/>
        <v/>
      </c>
      <c r="C42" s="2" t="str">
        <f t="shared" ca="1" si="1"/>
        <v/>
      </c>
    </row>
    <row r="43" spans="2:3" x14ac:dyDescent="0.3">
      <c r="B43" s="1" t="str">
        <f t="shared" ca="1" si="0"/>
        <v/>
      </c>
      <c r="C43" s="2" t="str">
        <f t="shared" ca="1" si="1"/>
        <v/>
      </c>
    </row>
    <row r="44" spans="2:3" x14ac:dyDescent="0.3">
      <c r="B44" s="1" t="str">
        <f t="shared" ca="1" si="0"/>
        <v/>
      </c>
      <c r="C44" s="2" t="str">
        <f t="shared" ca="1" si="1"/>
        <v/>
      </c>
    </row>
    <row r="45" spans="2:3" x14ac:dyDescent="0.3">
      <c r="B45" s="1" t="str">
        <f t="shared" ca="1" si="0"/>
        <v/>
      </c>
      <c r="C45" s="2" t="str">
        <f t="shared" ca="1" si="1"/>
        <v/>
      </c>
    </row>
    <row r="46" spans="2:3" x14ac:dyDescent="0.3">
      <c r="B46" s="1" t="str">
        <f t="shared" ca="1" si="0"/>
        <v/>
      </c>
      <c r="C46" s="2" t="str">
        <f t="shared" ca="1" si="1"/>
        <v/>
      </c>
    </row>
    <row r="47" spans="2:3" x14ac:dyDescent="0.3">
      <c r="B47" s="1" t="str">
        <f t="shared" ca="1" si="0"/>
        <v/>
      </c>
      <c r="C47" s="2" t="str">
        <f t="shared" ca="1" si="1"/>
        <v/>
      </c>
    </row>
    <row r="48" spans="2:3" x14ac:dyDescent="0.3">
      <c r="B48" s="1" t="str">
        <f t="shared" ca="1" si="0"/>
        <v/>
      </c>
      <c r="C48" s="2" t="str">
        <f t="shared" ca="1" si="1"/>
        <v/>
      </c>
    </row>
    <row r="49" spans="2:3" x14ac:dyDescent="0.3">
      <c r="B49" s="1" t="str">
        <f t="shared" ca="1" si="0"/>
        <v/>
      </c>
      <c r="C49" s="2" t="str">
        <f t="shared" ca="1" si="1"/>
        <v/>
      </c>
    </row>
    <row r="50" spans="2:3" x14ac:dyDescent="0.3">
      <c r="B50" s="1" t="str">
        <f t="shared" ca="1" si="0"/>
        <v/>
      </c>
      <c r="C50" s="2" t="str">
        <f t="shared" ca="1" si="1"/>
        <v/>
      </c>
    </row>
    <row r="51" spans="2:3" x14ac:dyDescent="0.3">
      <c r="B51" s="1" t="str">
        <f t="shared" ca="1" si="0"/>
        <v/>
      </c>
      <c r="C51" s="2" t="str">
        <f t="shared" ca="1" si="1"/>
        <v/>
      </c>
    </row>
    <row r="52" spans="2:3" x14ac:dyDescent="0.3">
      <c r="B52" s="1" t="str">
        <f t="shared" ca="1" si="0"/>
        <v/>
      </c>
      <c r="C52" s="2" t="str">
        <f t="shared" ca="1" si="1"/>
        <v/>
      </c>
    </row>
    <row r="53" spans="2:3" x14ac:dyDescent="0.3">
      <c r="B53" s="1"/>
      <c r="C53" s="2"/>
    </row>
    <row r="54" spans="2:3" x14ac:dyDescent="0.3">
      <c r="B54" s="1"/>
      <c r="C54" s="2"/>
    </row>
    <row r="55" spans="2:3" x14ac:dyDescent="0.3">
      <c r="B55" s="1" t="str">
        <f t="shared" ref="B55:B100" ca="1" si="2">IF(D55 &lt;&gt;"", IF(C55 ="", NOW(), C55), "")</f>
        <v/>
      </c>
      <c r="C55" s="2" t="str">
        <f t="shared" ref="C55:C100" ca="1" si="3">IF(D55 &lt;&gt;"", IF(C55 ="", NOW(), C55), "")</f>
        <v/>
      </c>
    </row>
    <row r="56" spans="2:3" x14ac:dyDescent="0.3">
      <c r="B56" s="1" t="str">
        <f t="shared" ca="1" si="2"/>
        <v/>
      </c>
      <c r="C56" s="2" t="str">
        <f t="shared" ca="1" si="3"/>
        <v/>
      </c>
    </row>
    <row r="57" spans="2:3" x14ac:dyDescent="0.3">
      <c r="B57" s="1" t="str">
        <f t="shared" ca="1" si="2"/>
        <v/>
      </c>
      <c r="C57" s="2" t="str">
        <f t="shared" ca="1" si="3"/>
        <v/>
      </c>
    </row>
    <row r="58" spans="2:3" x14ac:dyDescent="0.3">
      <c r="B58" s="1" t="str">
        <f t="shared" ca="1" si="2"/>
        <v/>
      </c>
      <c r="C58" s="2" t="str">
        <f t="shared" ca="1" si="3"/>
        <v/>
      </c>
    </row>
    <row r="59" spans="2:3" x14ac:dyDescent="0.3">
      <c r="B59" s="1" t="str">
        <f t="shared" ca="1" si="2"/>
        <v/>
      </c>
      <c r="C59" s="2" t="str">
        <f t="shared" ca="1" si="3"/>
        <v/>
      </c>
    </row>
    <row r="60" spans="2:3" x14ac:dyDescent="0.3">
      <c r="B60" s="1" t="str">
        <f t="shared" ca="1" si="2"/>
        <v/>
      </c>
      <c r="C60" s="2" t="str">
        <f t="shared" ca="1" si="3"/>
        <v/>
      </c>
    </row>
    <row r="61" spans="2:3" x14ac:dyDescent="0.3">
      <c r="B61" s="1" t="str">
        <f t="shared" ca="1" si="2"/>
        <v/>
      </c>
      <c r="C61" s="2" t="str">
        <f t="shared" ca="1" si="3"/>
        <v/>
      </c>
    </row>
    <row r="62" spans="2:3" x14ac:dyDescent="0.3">
      <c r="B62" s="1" t="str">
        <f t="shared" ca="1" si="2"/>
        <v/>
      </c>
      <c r="C62" s="2" t="str">
        <f t="shared" ca="1" si="3"/>
        <v/>
      </c>
    </row>
    <row r="63" spans="2:3" x14ac:dyDescent="0.3">
      <c r="B63" s="1" t="str">
        <f t="shared" ca="1" si="2"/>
        <v/>
      </c>
      <c r="C63" s="2" t="str">
        <f t="shared" ca="1" si="3"/>
        <v/>
      </c>
    </row>
    <row r="64" spans="2:3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ca="1" si="2"/>
        <v/>
      </c>
      <c r="C69" s="2" t="str">
        <f t="shared" ca="1" si="3"/>
        <v/>
      </c>
    </row>
    <row r="70" spans="2:3" x14ac:dyDescent="0.3">
      <c r="B70" s="1" t="str">
        <f t="shared" ca="1" si="2"/>
        <v/>
      </c>
      <c r="C70" s="2" t="str">
        <f t="shared" ca="1" si="3"/>
        <v/>
      </c>
    </row>
    <row r="71" spans="2:3" x14ac:dyDescent="0.3">
      <c r="B71" s="1" t="str">
        <f t="shared" ca="1" si="2"/>
        <v/>
      </c>
      <c r="C71" s="2" t="str">
        <f t="shared" ca="1" si="3"/>
        <v/>
      </c>
    </row>
    <row r="72" spans="2:3" x14ac:dyDescent="0.3">
      <c r="B72" s="1" t="str">
        <f t="shared" ca="1" si="2"/>
        <v/>
      </c>
      <c r="C72" s="2" t="str">
        <f t="shared" ca="1" si="3"/>
        <v/>
      </c>
    </row>
    <row r="73" spans="2:3" x14ac:dyDescent="0.3">
      <c r="B73" s="1" t="str">
        <f t="shared" ca="1" si="2"/>
        <v/>
      </c>
      <c r="C73" s="2" t="str">
        <f t="shared" ca="1" si="3"/>
        <v/>
      </c>
    </row>
    <row r="74" spans="2:3" x14ac:dyDescent="0.3">
      <c r="B74" s="1" t="str">
        <f t="shared" ca="1" si="2"/>
        <v/>
      </c>
      <c r="C74" s="2" t="str">
        <f t="shared" ca="1" si="3"/>
        <v/>
      </c>
    </row>
    <row r="75" spans="2:3" x14ac:dyDescent="0.3">
      <c r="B75" s="1" t="str">
        <f t="shared" ca="1" si="2"/>
        <v/>
      </c>
      <c r="C75" s="2" t="str">
        <f t="shared" ca="1" si="3"/>
        <v/>
      </c>
    </row>
    <row r="76" spans="2:3" x14ac:dyDescent="0.3">
      <c r="B76" s="1" t="str">
        <f t="shared" ca="1" si="2"/>
        <v/>
      </c>
      <c r="C76" s="2" t="str">
        <f t="shared" ca="1" si="3"/>
        <v/>
      </c>
    </row>
    <row r="77" spans="2:3" x14ac:dyDescent="0.3">
      <c r="B77" s="1" t="str">
        <f t="shared" ca="1" si="2"/>
        <v/>
      </c>
      <c r="C77" s="2" t="str">
        <f t="shared" ca="1" si="3"/>
        <v/>
      </c>
    </row>
    <row r="78" spans="2:3" x14ac:dyDescent="0.3">
      <c r="B78" s="1" t="str">
        <f t="shared" ca="1" si="2"/>
        <v/>
      </c>
      <c r="C78" s="2" t="str">
        <f t="shared" ca="1" si="3"/>
        <v/>
      </c>
    </row>
    <row r="79" spans="2:3" x14ac:dyDescent="0.3">
      <c r="B79" s="1" t="str">
        <f t="shared" ca="1" si="2"/>
        <v/>
      </c>
      <c r="C79" s="2" t="str">
        <f t="shared" ca="1" si="3"/>
        <v/>
      </c>
    </row>
    <row r="80" spans="2:3" x14ac:dyDescent="0.3">
      <c r="B80" s="1" t="str">
        <f t="shared" ca="1" si="2"/>
        <v/>
      </c>
      <c r="C80" s="2" t="str">
        <f t="shared" ca="1" si="3"/>
        <v/>
      </c>
    </row>
    <row r="81" spans="2:3" x14ac:dyDescent="0.3">
      <c r="B81" s="1" t="str">
        <f t="shared" ca="1" si="2"/>
        <v/>
      </c>
      <c r="C81" s="2" t="str">
        <f t="shared" ca="1" si="3"/>
        <v/>
      </c>
    </row>
    <row r="82" spans="2:3" x14ac:dyDescent="0.3">
      <c r="B82" s="1" t="str">
        <f t="shared" ca="1" si="2"/>
        <v/>
      </c>
      <c r="C82" s="2" t="str">
        <f t="shared" ca="1" si="3"/>
        <v/>
      </c>
    </row>
    <row r="83" spans="2:3" x14ac:dyDescent="0.3">
      <c r="B83" s="1" t="str">
        <f t="shared" ca="1" si="2"/>
        <v/>
      </c>
      <c r="C83" s="2" t="str">
        <f t="shared" ca="1" si="3"/>
        <v/>
      </c>
    </row>
    <row r="84" spans="2:3" x14ac:dyDescent="0.3">
      <c r="B84" s="1" t="str">
        <f t="shared" ca="1" si="2"/>
        <v/>
      </c>
      <c r="C84" s="2" t="str">
        <f t="shared" ca="1" si="3"/>
        <v/>
      </c>
    </row>
    <row r="85" spans="2:3" x14ac:dyDescent="0.3">
      <c r="B85" s="1" t="str">
        <f t="shared" ca="1" si="2"/>
        <v/>
      </c>
      <c r="C85" s="2" t="str">
        <f t="shared" ca="1" si="3"/>
        <v/>
      </c>
    </row>
    <row r="86" spans="2:3" x14ac:dyDescent="0.3">
      <c r="B86" s="1" t="str">
        <f t="shared" ca="1" si="2"/>
        <v/>
      </c>
      <c r="C86" s="2" t="str">
        <f t="shared" ca="1" si="3"/>
        <v/>
      </c>
    </row>
    <row r="87" spans="2:3" x14ac:dyDescent="0.3">
      <c r="B87" s="1" t="str">
        <f t="shared" ca="1" si="2"/>
        <v/>
      </c>
      <c r="C87" s="2" t="str">
        <f t="shared" ca="1" si="3"/>
        <v/>
      </c>
    </row>
    <row r="88" spans="2:3" x14ac:dyDescent="0.3">
      <c r="B88" s="1" t="str">
        <f t="shared" ca="1" si="2"/>
        <v/>
      </c>
      <c r="C88" s="2" t="str">
        <f t="shared" ca="1" si="3"/>
        <v/>
      </c>
    </row>
    <row r="89" spans="2:3" x14ac:dyDescent="0.3">
      <c r="B89" s="1" t="str">
        <f t="shared" ca="1" si="2"/>
        <v/>
      </c>
      <c r="C89" s="2" t="str">
        <f t="shared" ca="1" si="3"/>
        <v/>
      </c>
    </row>
    <row r="90" spans="2:3" x14ac:dyDescent="0.3">
      <c r="B90" s="1" t="str">
        <f t="shared" ca="1" si="2"/>
        <v/>
      </c>
      <c r="C90" s="2" t="str">
        <f t="shared" ca="1" si="3"/>
        <v/>
      </c>
    </row>
    <row r="91" spans="2:3" x14ac:dyDescent="0.3">
      <c r="B91" s="1" t="str">
        <f t="shared" ca="1" si="2"/>
        <v/>
      </c>
      <c r="C91" s="2" t="str">
        <f t="shared" ca="1" si="3"/>
        <v/>
      </c>
    </row>
    <row r="92" spans="2:3" x14ac:dyDescent="0.3">
      <c r="B92" s="1" t="str">
        <f t="shared" ca="1" si="2"/>
        <v/>
      </c>
      <c r="C92" s="2" t="str">
        <f t="shared" ca="1" si="3"/>
        <v/>
      </c>
    </row>
    <row r="93" spans="2:3" x14ac:dyDescent="0.3">
      <c r="B93" s="1" t="str">
        <f t="shared" ca="1" si="2"/>
        <v/>
      </c>
      <c r="C93" s="2" t="str">
        <f t="shared" ca="1" si="3"/>
        <v/>
      </c>
    </row>
    <row r="94" spans="2:3" x14ac:dyDescent="0.3">
      <c r="B94" s="1" t="str">
        <f t="shared" ca="1" si="2"/>
        <v/>
      </c>
      <c r="C94" s="2" t="str">
        <f t="shared" ca="1" si="3"/>
        <v/>
      </c>
    </row>
    <row r="95" spans="2:3" x14ac:dyDescent="0.3">
      <c r="B95" s="1" t="str">
        <f t="shared" ca="1" si="2"/>
        <v/>
      </c>
      <c r="C95" s="2" t="str">
        <f t="shared" ca="1" si="3"/>
        <v/>
      </c>
    </row>
    <row r="96" spans="2:3" x14ac:dyDescent="0.3">
      <c r="B96" s="1" t="str">
        <f t="shared" ca="1" si="2"/>
        <v/>
      </c>
      <c r="C96" s="2" t="str">
        <f t="shared" ca="1" si="3"/>
        <v/>
      </c>
    </row>
    <row r="97" spans="2:3" x14ac:dyDescent="0.3">
      <c r="B97" s="1" t="str">
        <f t="shared" ca="1" si="2"/>
        <v/>
      </c>
      <c r="C97" s="2" t="str">
        <f t="shared" ca="1" si="3"/>
        <v/>
      </c>
    </row>
    <row r="98" spans="2:3" x14ac:dyDescent="0.3">
      <c r="B98" s="1" t="str">
        <f t="shared" ca="1" si="2"/>
        <v/>
      </c>
      <c r="C98" s="2" t="str">
        <f t="shared" ca="1" si="3"/>
        <v/>
      </c>
    </row>
    <row r="99" spans="2:3" x14ac:dyDescent="0.3">
      <c r="B99" s="1" t="str">
        <f t="shared" ca="1" si="2"/>
        <v/>
      </c>
      <c r="C99" s="2" t="str">
        <f t="shared" ca="1" si="3"/>
        <v/>
      </c>
    </row>
    <row r="100" spans="2:3" x14ac:dyDescent="0.3">
      <c r="B100" s="1" t="str">
        <f t="shared" ca="1" si="2"/>
        <v/>
      </c>
      <c r="C100" s="2" t="str">
        <f t="shared" ca="1" si="3"/>
        <v/>
      </c>
    </row>
  </sheetData>
  <mergeCells count="1">
    <mergeCell ref="A1:I1"/>
  </mergeCells>
  <conditionalFormatting sqref="D38:D1048576 D1:D36">
    <cfRule type="duplicateValues" dxfId="9" priority="8"/>
  </conditionalFormatting>
  <conditionalFormatting sqref="D2:D1048576">
    <cfRule type="duplicateValues" dxfId="8" priority="7"/>
  </conditionalFormatting>
  <conditionalFormatting sqref="G2">
    <cfRule type="duplicateValues" dxfId="7" priority="2"/>
  </conditionalFormatting>
  <conditionalFormatting sqref="G2">
    <cfRule type="duplicateValues" dxfId="6" priority="1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100"/>
  <sheetViews>
    <sheetView workbookViewId="0">
      <selection activeCell="D3" sqref="D3"/>
    </sheetView>
  </sheetViews>
  <sheetFormatPr defaultRowHeight="14.4" x14ac:dyDescent="0.3"/>
  <cols>
    <col min="2" max="3" width="15.109375" bestFit="1" customWidth="1"/>
    <col min="4" max="4" width="16.5546875" bestFit="1" customWidth="1"/>
  </cols>
  <sheetData>
    <row r="1" spans="1:9" x14ac:dyDescent="0.3">
      <c r="A1" s="36" t="s">
        <v>23</v>
      </c>
      <c r="B1" s="36"/>
      <c r="C1" s="36"/>
      <c r="D1" s="36"/>
      <c r="E1" s="36"/>
      <c r="F1" s="36"/>
      <c r="G1" s="36"/>
      <c r="H1" s="36"/>
      <c r="I1" s="36"/>
    </row>
    <row r="2" spans="1:9" x14ac:dyDescent="0.3">
      <c r="A2" t="s">
        <v>24</v>
      </c>
      <c r="B2" t="s">
        <v>16</v>
      </c>
      <c r="C2" t="s">
        <v>399</v>
      </c>
      <c r="D2" t="s">
        <v>520</v>
      </c>
    </row>
    <row r="3" spans="1:9" x14ac:dyDescent="0.3">
      <c r="A3">
        <v>1</v>
      </c>
      <c r="B3" s="1" t="str">
        <f ca="1">IF(D3 &lt;&gt;"", IF(C3 ="", NOW(), C3), "")</f>
        <v/>
      </c>
      <c r="C3" s="2" t="str">
        <f ca="1">IF(D3 &lt;&gt;"", IF(C3 ="", NOW(), C3), "")</f>
        <v/>
      </c>
      <c r="E3" t="s">
        <v>523</v>
      </c>
      <c r="F3" t="s">
        <v>533</v>
      </c>
    </row>
    <row r="4" spans="1:9" x14ac:dyDescent="0.3">
      <c r="A4">
        <v>2</v>
      </c>
      <c r="B4" s="1" t="str">
        <f t="shared" ref="B4:B52" ca="1" si="0">IF(D4 &lt;&gt;"", IF(C4 ="", NOW(), C4), "")</f>
        <v/>
      </c>
      <c r="C4" s="2" t="str">
        <f t="shared" ref="C4:C52" ca="1" si="1">IF(D4 &lt;&gt;"", IF(C4 ="", NOW(), C4), "")</f>
        <v/>
      </c>
      <c r="E4" t="s">
        <v>524</v>
      </c>
      <c r="F4" t="s">
        <v>533</v>
      </c>
    </row>
    <row r="5" spans="1:9" x14ac:dyDescent="0.3">
      <c r="A5">
        <v>3</v>
      </c>
      <c r="B5" s="1" t="str">
        <f t="shared" ca="1" si="0"/>
        <v/>
      </c>
      <c r="C5" s="2" t="str">
        <f t="shared" ca="1" si="1"/>
        <v/>
      </c>
      <c r="E5" t="s">
        <v>525</v>
      </c>
      <c r="F5" t="s">
        <v>533</v>
      </c>
    </row>
    <row r="6" spans="1:9" x14ac:dyDescent="0.3">
      <c r="A6">
        <v>4</v>
      </c>
      <c r="B6" s="1" t="str">
        <f t="shared" ca="1" si="0"/>
        <v/>
      </c>
      <c r="C6" s="2" t="str">
        <f t="shared" ca="1" si="1"/>
        <v/>
      </c>
      <c r="E6" t="s">
        <v>526</v>
      </c>
      <c r="F6" t="s">
        <v>533</v>
      </c>
    </row>
    <row r="7" spans="1:9" x14ac:dyDescent="0.3">
      <c r="A7">
        <v>5</v>
      </c>
      <c r="B7" s="1" t="str">
        <f t="shared" ca="1" si="0"/>
        <v/>
      </c>
      <c r="C7" s="2" t="str">
        <f t="shared" ca="1" si="1"/>
        <v/>
      </c>
      <c r="E7" t="s">
        <v>527</v>
      </c>
      <c r="F7" t="s">
        <v>534</v>
      </c>
    </row>
    <row r="8" spans="1:9" x14ac:dyDescent="0.3">
      <c r="A8">
        <v>6</v>
      </c>
      <c r="B8" s="1" t="str">
        <f t="shared" ca="1" si="0"/>
        <v/>
      </c>
      <c r="C8" s="2" t="str">
        <f t="shared" ca="1" si="1"/>
        <v/>
      </c>
      <c r="E8" t="s">
        <v>528</v>
      </c>
      <c r="F8" t="s">
        <v>534</v>
      </c>
    </row>
    <row r="9" spans="1:9" x14ac:dyDescent="0.3">
      <c r="A9">
        <v>7</v>
      </c>
      <c r="B9" s="1" t="str">
        <f t="shared" ca="1" si="0"/>
        <v/>
      </c>
      <c r="C9" s="2" t="str">
        <f t="shared" ca="1" si="1"/>
        <v/>
      </c>
    </row>
    <row r="10" spans="1:9" x14ac:dyDescent="0.3">
      <c r="A10">
        <v>8</v>
      </c>
      <c r="B10" s="1" t="str">
        <f t="shared" ca="1" si="0"/>
        <v/>
      </c>
      <c r="C10" s="2" t="str">
        <f t="shared" ca="1" si="1"/>
        <v/>
      </c>
    </row>
    <row r="11" spans="1:9" x14ac:dyDescent="0.3">
      <c r="A11">
        <v>9</v>
      </c>
      <c r="B11" s="1" t="str">
        <f t="shared" ca="1" si="0"/>
        <v/>
      </c>
      <c r="C11" s="2" t="str">
        <f t="shared" ca="1" si="1"/>
        <v/>
      </c>
    </row>
    <row r="12" spans="1:9" x14ac:dyDescent="0.3">
      <c r="A12">
        <v>10</v>
      </c>
      <c r="B12" s="1" t="str">
        <f t="shared" ca="1" si="0"/>
        <v/>
      </c>
      <c r="C12" s="2" t="str">
        <f t="shared" ca="1" si="1"/>
        <v/>
      </c>
    </row>
    <row r="13" spans="1:9" x14ac:dyDescent="0.3">
      <c r="A13">
        <v>11</v>
      </c>
      <c r="B13" s="1" t="str">
        <f t="shared" ca="1" si="0"/>
        <v/>
      </c>
      <c r="C13" s="2" t="str">
        <f t="shared" ca="1" si="1"/>
        <v/>
      </c>
    </row>
    <row r="14" spans="1:9" x14ac:dyDescent="0.3">
      <c r="A14">
        <v>12</v>
      </c>
      <c r="B14" s="1" t="str">
        <f t="shared" ca="1" si="0"/>
        <v/>
      </c>
      <c r="C14" s="2" t="str">
        <f t="shared" ca="1" si="1"/>
        <v/>
      </c>
    </row>
    <row r="15" spans="1:9" x14ac:dyDescent="0.3">
      <c r="A15">
        <v>13</v>
      </c>
      <c r="B15" s="1" t="str">
        <f t="shared" ca="1" si="0"/>
        <v/>
      </c>
      <c r="C15" s="2" t="str">
        <f t="shared" ca="1" si="1"/>
        <v/>
      </c>
    </row>
    <row r="16" spans="1:9" x14ac:dyDescent="0.3">
      <c r="A16">
        <v>14</v>
      </c>
      <c r="B16" s="1" t="str">
        <f t="shared" ca="1" si="0"/>
        <v/>
      </c>
      <c r="C16" s="2" t="str">
        <f t="shared" ca="1" si="1"/>
        <v/>
      </c>
    </row>
    <row r="17" spans="1:3" x14ac:dyDescent="0.3">
      <c r="A17">
        <v>15</v>
      </c>
      <c r="B17" s="1" t="str">
        <f t="shared" ca="1" si="0"/>
        <v/>
      </c>
      <c r="C17" s="2" t="str">
        <f t="shared" ca="1" si="1"/>
        <v/>
      </c>
    </row>
    <row r="18" spans="1:3" x14ac:dyDescent="0.3">
      <c r="A18">
        <v>16</v>
      </c>
      <c r="B18" s="1" t="str">
        <f t="shared" ca="1" si="0"/>
        <v/>
      </c>
      <c r="C18" s="2" t="str">
        <f t="shared" ca="1" si="1"/>
        <v/>
      </c>
    </row>
    <row r="19" spans="1:3" x14ac:dyDescent="0.3">
      <c r="A19">
        <v>17</v>
      </c>
      <c r="B19" s="1" t="str">
        <f t="shared" ca="1" si="0"/>
        <v/>
      </c>
      <c r="C19" s="2" t="str">
        <f t="shared" ca="1" si="1"/>
        <v/>
      </c>
    </row>
    <row r="20" spans="1:3" x14ac:dyDescent="0.3">
      <c r="A20">
        <v>18</v>
      </c>
      <c r="B20" s="1" t="str">
        <f t="shared" ca="1" si="0"/>
        <v/>
      </c>
      <c r="C20" s="2" t="str">
        <f t="shared" ca="1" si="1"/>
        <v/>
      </c>
    </row>
    <row r="21" spans="1:3" x14ac:dyDescent="0.3">
      <c r="A21">
        <v>19</v>
      </c>
      <c r="B21" s="1" t="str">
        <f t="shared" ca="1" si="0"/>
        <v/>
      </c>
      <c r="C21" s="2" t="str">
        <f t="shared" ca="1" si="1"/>
        <v/>
      </c>
    </row>
    <row r="22" spans="1:3" x14ac:dyDescent="0.3">
      <c r="A22">
        <v>20</v>
      </c>
      <c r="B22" s="1" t="str">
        <f t="shared" ca="1" si="0"/>
        <v/>
      </c>
      <c r="C22" s="2" t="str">
        <f t="shared" ca="1" si="1"/>
        <v/>
      </c>
    </row>
    <row r="23" spans="1:3" x14ac:dyDescent="0.3">
      <c r="A23">
        <v>21</v>
      </c>
      <c r="B23" s="1" t="str">
        <f t="shared" ca="1" si="0"/>
        <v/>
      </c>
      <c r="C23" s="2" t="str">
        <f t="shared" ca="1" si="1"/>
        <v/>
      </c>
    </row>
    <row r="24" spans="1:3" x14ac:dyDescent="0.3">
      <c r="A24">
        <v>22</v>
      </c>
      <c r="B24" s="1" t="str">
        <f t="shared" ca="1" si="0"/>
        <v/>
      </c>
      <c r="C24" s="2" t="str">
        <f t="shared" ca="1" si="1"/>
        <v/>
      </c>
    </row>
    <row r="25" spans="1:3" x14ac:dyDescent="0.3">
      <c r="A25">
        <v>23</v>
      </c>
      <c r="B25" s="1" t="str">
        <f t="shared" ca="1" si="0"/>
        <v/>
      </c>
      <c r="C25" s="2" t="str">
        <f t="shared" ca="1" si="1"/>
        <v/>
      </c>
    </row>
    <row r="26" spans="1:3" x14ac:dyDescent="0.3">
      <c r="A26">
        <v>24</v>
      </c>
      <c r="B26" s="1" t="str">
        <f t="shared" ca="1" si="0"/>
        <v/>
      </c>
      <c r="C26" s="2" t="str">
        <f t="shared" ca="1" si="1"/>
        <v/>
      </c>
    </row>
    <row r="27" spans="1:3" x14ac:dyDescent="0.3">
      <c r="A27">
        <v>25</v>
      </c>
      <c r="B27" s="1" t="str">
        <f t="shared" ca="1" si="0"/>
        <v/>
      </c>
      <c r="C27" s="2" t="str">
        <f t="shared" ca="1" si="1"/>
        <v/>
      </c>
    </row>
    <row r="28" spans="1:3" x14ac:dyDescent="0.3">
      <c r="A28">
        <v>26</v>
      </c>
      <c r="B28" s="1" t="str">
        <f t="shared" ca="1" si="0"/>
        <v/>
      </c>
      <c r="C28" s="2" t="str">
        <f t="shared" ca="1" si="1"/>
        <v/>
      </c>
    </row>
    <row r="29" spans="1:3" x14ac:dyDescent="0.3">
      <c r="A29">
        <v>27</v>
      </c>
      <c r="B29" s="1" t="str">
        <f t="shared" ca="1" si="0"/>
        <v/>
      </c>
      <c r="C29" s="2" t="str">
        <f t="shared" ca="1" si="1"/>
        <v/>
      </c>
    </row>
    <row r="30" spans="1:3" x14ac:dyDescent="0.3">
      <c r="A30">
        <v>28</v>
      </c>
      <c r="B30" s="1" t="str">
        <f t="shared" ca="1" si="0"/>
        <v/>
      </c>
      <c r="C30" s="2" t="str">
        <f t="shared" ca="1" si="1"/>
        <v/>
      </c>
    </row>
    <row r="31" spans="1:3" x14ac:dyDescent="0.3">
      <c r="A31">
        <v>29</v>
      </c>
      <c r="B31" s="1" t="str">
        <f t="shared" ca="1" si="0"/>
        <v/>
      </c>
      <c r="C31" s="2" t="str">
        <f t="shared" ca="1" si="1"/>
        <v/>
      </c>
    </row>
    <row r="32" spans="1:3" x14ac:dyDescent="0.3">
      <c r="A32">
        <v>30</v>
      </c>
      <c r="B32" s="1" t="str">
        <f t="shared" ca="1" si="0"/>
        <v/>
      </c>
      <c r="C32" s="2" t="str">
        <f t="shared" ca="1" si="1"/>
        <v/>
      </c>
    </row>
    <row r="33" spans="1:3" x14ac:dyDescent="0.3">
      <c r="A33">
        <v>31</v>
      </c>
      <c r="B33" s="1" t="str">
        <f t="shared" ca="1" si="0"/>
        <v/>
      </c>
      <c r="C33" s="2" t="str">
        <f t="shared" ca="1" si="1"/>
        <v/>
      </c>
    </row>
    <row r="34" spans="1:3" x14ac:dyDescent="0.3">
      <c r="A34">
        <v>32</v>
      </c>
      <c r="B34" s="1" t="str">
        <f t="shared" ca="1" si="0"/>
        <v/>
      </c>
      <c r="C34" s="2" t="str">
        <f t="shared" ca="1" si="1"/>
        <v/>
      </c>
    </row>
    <row r="35" spans="1:3" x14ac:dyDescent="0.3">
      <c r="A35">
        <v>33</v>
      </c>
      <c r="B35" s="1" t="str">
        <f t="shared" ca="1" si="0"/>
        <v/>
      </c>
      <c r="C35" s="2" t="str">
        <f t="shared" ca="1" si="1"/>
        <v/>
      </c>
    </row>
    <row r="36" spans="1:3" x14ac:dyDescent="0.3">
      <c r="A36">
        <v>34</v>
      </c>
      <c r="B36" s="1" t="str">
        <f t="shared" ca="1" si="0"/>
        <v/>
      </c>
      <c r="C36" s="2" t="str">
        <f t="shared" ca="1" si="1"/>
        <v/>
      </c>
    </row>
    <row r="37" spans="1:3" x14ac:dyDescent="0.3">
      <c r="A37">
        <v>35</v>
      </c>
      <c r="B37" s="1" t="str">
        <f t="shared" ca="1" si="0"/>
        <v/>
      </c>
      <c r="C37" s="2" t="str">
        <f t="shared" ca="1" si="1"/>
        <v/>
      </c>
    </row>
    <row r="38" spans="1:3" x14ac:dyDescent="0.3">
      <c r="A38">
        <v>36</v>
      </c>
      <c r="B38" s="1" t="str">
        <f t="shared" ca="1" si="0"/>
        <v/>
      </c>
      <c r="C38" s="2" t="str">
        <f t="shared" ca="1" si="1"/>
        <v/>
      </c>
    </row>
    <row r="39" spans="1:3" x14ac:dyDescent="0.3">
      <c r="A39">
        <v>37</v>
      </c>
      <c r="B39" s="1" t="str">
        <f t="shared" ca="1" si="0"/>
        <v/>
      </c>
      <c r="C39" s="2" t="str">
        <f t="shared" ca="1" si="1"/>
        <v/>
      </c>
    </row>
    <row r="40" spans="1:3" x14ac:dyDescent="0.3">
      <c r="A40">
        <v>38</v>
      </c>
      <c r="B40" s="1" t="str">
        <f t="shared" ca="1" si="0"/>
        <v/>
      </c>
      <c r="C40" s="2" t="str">
        <f t="shared" ca="1" si="1"/>
        <v/>
      </c>
    </row>
    <row r="41" spans="1:3" x14ac:dyDescent="0.3">
      <c r="A41">
        <v>39</v>
      </c>
      <c r="B41" s="1" t="str">
        <f t="shared" ca="1" si="0"/>
        <v/>
      </c>
      <c r="C41" s="2" t="str">
        <f t="shared" ca="1" si="1"/>
        <v/>
      </c>
    </row>
    <row r="42" spans="1:3" x14ac:dyDescent="0.3">
      <c r="A42">
        <v>40</v>
      </c>
      <c r="B42" s="1" t="str">
        <f t="shared" ca="1" si="0"/>
        <v/>
      </c>
      <c r="C42" s="2" t="str">
        <f t="shared" ca="1" si="1"/>
        <v/>
      </c>
    </row>
    <row r="43" spans="1:3" x14ac:dyDescent="0.3">
      <c r="A43">
        <v>41</v>
      </c>
      <c r="B43" s="1" t="str">
        <f t="shared" ca="1" si="0"/>
        <v/>
      </c>
      <c r="C43" s="2" t="str">
        <f t="shared" ca="1" si="1"/>
        <v/>
      </c>
    </row>
    <row r="44" spans="1:3" x14ac:dyDescent="0.3">
      <c r="A44">
        <v>42</v>
      </c>
      <c r="B44" s="1" t="str">
        <f t="shared" ca="1" si="0"/>
        <v/>
      </c>
      <c r="C44" s="2" t="str">
        <f t="shared" ca="1" si="1"/>
        <v/>
      </c>
    </row>
    <row r="45" spans="1:3" x14ac:dyDescent="0.3">
      <c r="A45">
        <v>43</v>
      </c>
      <c r="B45" s="1" t="str">
        <f t="shared" ca="1" si="0"/>
        <v/>
      </c>
      <c r="C45" s="2" t="str">
        <f t="shared" ca="1" si="1"/>
        <v/>
      </c>
    </row>
    <row r="46" spans="1:3" x14ac:dyDescent="0.3">
      <c r="A46">
        <v>44</v>
      </c>
      <c r="B46" s="1" t="str">
        <f t="shared" ca="1" si="0"/>
        <v/>
      </c>
      <c r="C46" s="2" t="str">
        <f t="shared" ca="1" si="1"/>
        <v/>
      </c>
    </row>
    <row r="47" spans="1:3" x14ac:dyDescent="0.3">
      <c r="A47">
        <v>45</v>
      </c>
      <c r="B47" s="1" t="str">
        <f t="shared" ca="1" si="0"/>
        <v/>
      </c>
      <c r="C47" s="2" t="str">
        <f t="shared" ca="1" si="1"/>
        <v/>
      </c>
    </row>
    <row r="48" spans="1:3" x14ac:dyDescent="0.3">
      <c r="A48">
        <v>46</v>
      </c>
      <c r="B48" s="1" t="str">
        <f t="shared" ca="1" si="0"/>
        <v/>
      </c>
      <c r="C48" s="2" t="str">
        <f t="shared" ca="1" si="1"/>
        <v/>
      </c>
    </row>
    <row r="49" spans="1:3" x14ac:dyDescent="0.3">
      <c r="A49">
        <v>47</v>
      </c>
      <c r="B49" s="1" t="str">
        <f t="shared" ca="1" si="0"/>
        <v/>
      </c>
      <c r="C49" s="2" t="str">
        <f t="shared" ca="1" si="1"/>
        <v/>
      </c>
    </row>
    <row r="50" spans="1:3" x14ac:dyDescent="0.3">
      <c r="A50">
        <v>48</v>
      </c>
      <c r="B50" s="1" t="str">
        <f t="shared" ca="1" si="0"/>
        <v/>
      </c>
      <c r="C50" s="2" t="str">
        <f t="shared" ca="1" si="1"/>
        <v/>
      </c>
    </row>
    <row r="51" spans="1:3" x14ac:dyDescent="0.3">
      <c r="A51">
        <v>49</v>
      </c>
      <c r="B51" s="1" t="str">
        <f t="shared" ca="1" si="0"/>
        <v/>
      </c>
      <c r="C51" s="2" t="str">
        <f t="shared" ca="1" si="1"/>
        <v/>
      </c>
    </row>
    <row r="52" spans="1:3" x14ac:dyDescent="0.3">
      <c r="A52">
        <v>50</v>
      </c>
      <c r="B52" s="1" t="str">
        <f t="shared" ca="1" si="0"/>
        <v/>
      </c>
      <c r="C52" s="2" t="str">
        <f t="shared" ca="1" si="1"/>
        <v/>
      </c>
    </row>
    <row r="53" spans="1:3" x14ac:dyDescent="0.3">
      <c r="A53">
        <v>51</v>
      </c>
      <c r="B53" s="1"/>
      <c r="C53" s="2"/>
    </row>
    <row r="54" spans="1:3" x14ac:dyDescent="0.3">
      <c r="A54">
        <v>52</v>
      </c>
      <c r="B54" s="1"/>
      <c r="C54" s="2"/>
    </row>
    <row r="55" spans="1:3" x14ac:dyDescent="0.3">
      <c r="B55" s="1" t="str">
        <f t="shared" ref="B55:B100" ca="1" si="2">IF(D55 &lt;&gt;"", IF(C55 ="", NOW(), C55), "")</f>
        <v/>
      </c>
      <c r="C55" s="2" t="str">
        <f t="shared" ref="C55:C100" ca="1" si="3">IF(D55 &lt;&gt;"", IF(C55 ="", NOW(), C55), "")</f>
        <v/>
      </c>
    </row>
    <row r="56" spans="1:3" x14ac:dyDescent="0.3">
      <c r="B56" s="1" t="str">
        <f t="shared" ca="1" si="2"/>
        <v/>
      </c>
      <c r="C56" s="2" t="str">
        <f t="shared" ca="1" si="3"/>
        <v/>
      </c>
    </row>
    <row r="57" spans="1:3" x14ac:dyDescent="0.3">
      <c r="B57" s="1" t="str">
        <f t="shared" ca="1" si="2"/>
        <v/>
      </c>
      <c r="C57" s="2" t="str">
        <f t="shared" ca="1" si="3"/>
        <v/>
      </c>
    </row>
    <row r="58" spans="1:3" x14ac:dyDescent="0.3">
      <c r="B58" s="1" t="str">
        <f t="shared" ca="1" si="2"/>
        <v/>
      </c>
      <c r="C58" s="2" t="str">
        <f t="shared" ca="1" si="3"/>
        <v/>
      </c>
    </row>
    <row r="59" spans="1:3" x14ac:dyDescent="0.3">
      <c r="B59" s="1" t="str">
        <f t="shared" ca="1" si="2"/>
        <v/>
      </c>
      <c r="C59" s="2" t="str">
        <f t="shared" ca="1" si="3"/>
        <v/>
      </c>
    </row>
    <row r="60" spans="1:3" x14ac:dyDescent="0.3">
      <c r="B60" s="1" t="str">
        <f t="shared" ca="1" si="2"/>
        <v/>
      </c>
      <c r="C60" s="2" t="str">
        <f t="shared" ca="1" si="3"/>
        <v/>
      </c>
    </row>
    <row r="61" spans="1:3" x14ac:dyDescent="0.3">
      <c r="B61" s="1" t="str">
        <f t="shared" ca="1" si="2"/>
        <v/>
      </c>
      <c r="C61" s="2" t="str">
        <f t="shared" ca="1" si="3"/>
        <v/>
      </c>
    </row>
    <row r="62" spans="1:3" x14ac:dyDescent="0.3">
      <c r="B62" s="1" t="str">
        <f t="shared" ca="1" si="2"/>
        <v/>
      </c>
      <c r="C62" s="2" t="str">
        <f t="shared" ca="1" si="3"/>
        <v/>
      </c>
    </row>
    <row r="63" spans="1:3" x14ac:dyDescent="0.3">
      <c r="B63" s="1" t="str">
        <f t="shared" ca="1" si="2"/>
        <v/>
      </c>
      <c r="C63" s="2" t="str">
        <f t="shared" ca="1" si="3"/>
        <v/>
      </c>
    </row>
    <row r="64" spans="1:3" x14ac:dyDescent="0.3">
      <c r="B64" s="1" t="str">
        <f t="shared" ca="1" si="2"/>
        <v/>
      </c>
      <c r="C64" s="2" t="str">
        <f t="shared" ca="1" si="3"/>
        <v/>
      </c>
    </row>
    <row r="65" spans="2:3" x14ac:dyDescent="0.3">
      <c r="B65" s="1" t="str">
        <f t="shared" ca="1" si="2"/>
        <v/>
      </c>
      <c r="C65" s="2" t="str">
        <f t="shared" ca="1" si="3"/>
        <v/>
      </c>
    </row>
    <row r="66" spans="2:3" x14ac:dyDescent="0.3">
      <c r="B66" s="1" t="str">
        <f t="shared" ca="1" si="2"/>
        <v/>
      </c>
      <c r="C66" s="2" t="str">
        <f t="shared" ca="1" si="3"/>
        <v/>
      </c>
    </row>
    <row r="67" spans="2:3" x14ac:dyDescent="0.3">
      <c r="B67" s="1" t="str">
        <f t="shared" ca="1" si="2"/>
        <v/>
      </c>
      <c r="C67" s="2" t="str">
        <f t="shared" ca="1" si="3"/>
        <v/>
      </c>
    </row>
    <row r="68" spans="2:3" x14ac:dyDescent="0.3">
      <c r="B68" s="1" t="str">
        <f t="shared" ca="1" si="2"/>
        <v/>
      </c>
      <c r="C68" s="2" t="str">
        <f t="shared" ca="1" si="3"/>
        <v/>
      </c>
    </row>
    <row r="69" spans="2:3" x14ac:dyDescent="0.3">
      <c r="B69" s="1" t="str">
        <f t="shared" ca="1" si="2"/>
        <v/>
      </c>
      <c r="C69" s="2" t="str">
        <f t="shared" ca="1" si="3"/>
        <v/>
      </c>
    </row>
    <row r="70" spans="2:3" x14ac:dyDescent="0.3">
      <c r="B70" s="1" t="str">
        <f t="shared" ca="1" si="2"/>
        <v/>
      </c>
      <c r="C70" s="2" t="str">
        <f t="shared" ca="1" si="3"/>
        <v/>
      </c>
    </row>
    <row r="71" spans="2:3" x14ac:dyDescent="0.3">
      <c r="B71" s="1" t="str">
        <f t="shared" ca="1" si="2"/>
        <v/>
      </c>
      <c r="C71" s="2" t="str">
        <f t="shared" ca="1" si="3"/>
        <v/>
      </c>
    </row>
    <row r="72" spans="2:3" x14ac:dyDescent="0.3">
      <c r="B72" s="1" t="str">
        <f t="shared" ca="1" si="2"/>
        <v/>
      </c>
      <c r="C72" s="2" t="str">
        <f t="shared" ca="1" si="3"/>
        <v/>
      </c>
    </row>
    <row r="73" spans="2:3" x14ac:dyDescent="0.3">
      <c r="B73" s="1" t="str">
        <f t="shared" ca="1" si="2"/>
        <v/>
      </c>
      <c r="C73" s="2" t="str">
        <f t="shared" ca="1" si="3"/>
        <v/>
      </c>
    </row>
    <row r="74" spans="2:3" x14ac:dyDescent="0.3">
      <c r="B74" s="1" t="str">
        <f t="shared" ca="1" si="2"/>
        <v/>
      </c>
      <c r="C74" s="2" t="str">
        <f t="shared" ca="1" si="3"/>
        <v/>
      </c>
    </row>
    <row r="75" spans="2:3" x14ac:dyDescent="0.3">
      <c r="B75" s="1" t="str">
        <f t="shared" ca="1" si="2"/>
        <v/>
      </c>
      <c r="C75" s="2" t="str">
        <f t="shared" ca="1" si="3"/>
        <v/>
      </c>
    </row>
    <row r="76" spans="2:3" x14ac:dyDescent="0.3">
      <c r="B76" s="1" t="str">
        <f t="shared" ca="1" si="2"/>
        <v/>
      </c>
      <c r="C76" s="2" t="str">
        <f t="shared" ca="1" si="3"/>
        <v/>
      </c>
    </row>
    <row r="77" spans="2:3" x14ac:dyDescent="0.3">
      <c r="B77" s="1" t="str">
        <f t="shared" ca="1" si="2"/>
        <v/>
      </c>
      <c r="C77" s="2" t="str">
        <f t="shared" ca="1" si="3"/>
        <v/>
      </c>
    </row>
    <row r="78" spans="2:3" x14ac:dyDescent="0.3">
      <c r="B78" s="1" t="str">
        <f t="shared" ca="1" si="2"/>
        <v/>
      </c>
      <c r="C78" s="2" t="str">
        <f t="shared" ca="1" si="3"/>
        <v/>
      </c>
    </row>
    <row r="79" spans="2:3" x14ac:dyDescent="0.3">
      <c r="B79" s="1" t="str">
        <f t="shared" ca="1" si="2"/>
        <v/>
      </c>
      <c r="C79" s="2" t="str">
        <f t="shared" ca="1" si="3"/>
        <v/>
      </c>
    </row>
    <row r="80" spans="2:3" x14ac:dyDescent="0.3">
      <c r="B80" s="1" t="str">
        <f t="shared" ca="1" si="2"/>
        <v/>
      </c>
      <c r="C80" s="2" t="str">
        <f t="shared" ca="1" si="3"/>
        <v/>
      </c>
    </row>
    <row r="81" spans="2:3" x14ac:dyDescent="0.3">
      <c r="B81" s="1" t="str">
        <f t="shared" ca="1" si="2"/>
        <v/>
      </c>
      <c r="C81" s="2" t="str">
        <f t="shared" ca="1" si="3"/>
        <v/>
      </c>
    </row>
    <row r="82" spans="2:3" x14ac:dyDescent="0.3">
      <c r="B82" s="1" t="str">
        <f t="shared" ca="1" si="2"/>
        <v/>
      </c>
      <c r="C82" s="2" t="str">
        <f t="shared" ca="1" si="3"/>
        <v/>
      </c>
    </row>
    <row r="83" spans="2:3" x14ac:dyDescent="0.3">
      <c r="B83" s="1" t="str">
        <f t="shared" ca="1" si="2"/>
        <v/>
      </c>
      <c r="C83" s="2" t="str">
        <f t="shared" ca="1" si="3"/>
        <v/>
      </c>
    </row>
    <row r="84" spans="2:3" x14ac:dyDescent="0.3">
      <c r="B84" s="1" t="str">
        <f t="shared" ca="1" si="2"/>
        <v/>
      </c>
      <c r="C84" s="2" t="str">
        <f t="shared" ca="1" si="3"/>
        <v/>
      </c>
    </row>
    <row r="85" spans="2:3" x14ac:dyDescent="0.3">
      <c r="B85" s="1" t="str">
        <f t="shared" ca="1" si="2"/>
        <v/>
      </c>
      <c r="C85" s="2" t="str">
        <f t="shared" ca="1" si="3"/>
        <v/>
      </c>
    </row>
    <row r="86" spans="2:3" x14ac:dyDescent="0.3">
      <c r="B86" s="1" t="str">
        <f t="shared" ca="1" si="2"/>
        <v/>
      </c>
      <c r="C86" s="2" t="str">
        <f t="shared" ca="1" si="3"/>
        <v/>
      </c>
    </row>
    <row r="87" spans="2:3" x14ac:dyDescent="0.3">
      <c r="B87" s="1" t="str">
        <f t="shared" ca="1" si="2"/>
        <v/>
      </c>
      <c r="C87" s="2" t="str">
        <f t="shared" ca="1" si="3"/>
        <v/>
      </c>
    </row>
    <row r="88" spans="2:3" x14ac:dyDescent="0.3">
      <c r="B88" s="1" t="str">
        <f t="shared" ca="1" si="2"/>
        <v/>
      </c>
      <c r="C88" s="2" t="str">
        <f t="shared" ca="1" si="3"/>
        <v/>
      </c>
    </row>
    <row r="89" spans="2:3" x14ac:dyDescent="0.3">
      <c r="B89" s="1" t="str">
        <f t="shared" ca="1" si="2"/>
        <v/>
      </c>
      <c r="C89" s="2" t="str">
        <f t="shared" ca="1" si="3"/>
        <v/>
      </c>
    </row>
    <row r="90" spans="2:3" x14ac:dyDescent="0.3">
      <c r="B90" s="1" t="str">
        <f t="shared" ca="1" si="2"/>
        <v/>
      </c>
      <c r="C90" s="2" t="str">
        <f t="shared" ca="1" si="3"/>
        <v/>
      </c>
    </row>
    <row r="91" spans="2:3" x14ac:dyDescent="0.3">
      <c r="B91" s="1" t="str">
        <f t="shared" ca="1" si="2"/>
        <v/>
      </c>
      <c r="C91" s="2" t="str">
        <f t="shared" ca="1" si="3"/>
        <v/>
      </c>
    </row>
    <row r="92" spans="2:3" x14ac:dyDescent="0.3">
      <c r="B92" s="1" t="str">
        <f t="shared" ca="1" si="2"/>
        <v/>
      </c>
      <c r="C92" s="2" t="str">
        <f t="shared" ca="1" si="3"/>
        <v/>
      </c>
    </row>
    <row r="93" spans="2:3" x14ac:dyDescent="0.3">
      <c r="B93" s="1" t="str">
        <f t="shared" ca="1" si="2"/>
        <v/>
      </c>
      <c r="C93" s="2" t="str">
        <f t="shared" ca="1" si="3"/>
        <v/>
      </c>
    </row>
    <row r="94" spans="2:3" x14ac:dyDescent="0.3">
      <c r="B94" s="1" t="str">
        <f t="shared" ca="1" si="2"/>
        <v/>
      </c>
      <c r="C94" s="2" t="str">
        <f t="shared" ca="1" si="3"/>
        <v/>
      </c>
    </row>
    <row r="95" spans="2:3" x14ac:dyDescent="0.3">
      <c r="B95" s="1" t="str">
        <f t="shared" ca="1" si="2"/>
        <v/>
      </c>
      <c r="C95" s="2" t="str">
        <f t="shared" ca="1" si="3"/>
        <v/>
      </c>
    </row>
    <row r="96" spans="2:3" x14ac:dyDescent="0.3">
      <c r="B96" s="1" t="str">
        <f t="shared" ca="1" si="2"/>
        <v/>
      </c>
      <c r="C96" s="2" t="str">
        <f t="shared" ca="1" si="3"/>
        <v/>
      </c>
    </row>
    <row r="97" spans="2:3" x14ac:dyDescent="0.3">
      <c r="B97" s="1" t="str">
        <f t="shared" ca="1" si="2"/>
        <v/>
      </c>
      <c r="C97" s="2" t="str">
        <f t="shared" ca="1" si="3"/>
        <v/>
      </c>
    </row>
    <row r="98" spans="2:3" x14ac:dyDescent="0.3">
      <c r="B98" s="1" t="str">
        <f t="shared" ca="1" si="2"/>
        <v/>
      </c>
      <c r="C98" s="2" t="str">
        <f t="shared" ca="1" si="3"/>
        <v/>
      </c>
    </row>
    <row r="99" spans="2:3" x14ac:dyDescent="0.3">
      <c r="B99" s="1" t="str">
        <f t="shared" ca="1" si="2"/>
        <v/>
      </c>
      <c r="C99" s="2" t="str">
        <f t="shared" ca="1" si="3"/>
        <v/>
      </c>
    </row>
    <row r="100" spans="2:3" x14ac:dyDescent="0.3">
      <c r="B100" s="1" t="str">
        <f t="shared" ca="1" si="2"/>
        <v/>
      </c>
      <c r="C100" s="2" t="str">
        <f t="shared" ca="1" si="3"/>
        <v/>
      </c>
    </row>
  </sheetData>
  <mergeCells count="1">
    <mergeCell ref="A1:I1"/>
  </mergeCells>
  <conditionalFormatting sqref="D38:D1048576 D1:D36">
    <cfRule type="duplicateValues" dxfId="5" priority="6"/>
  </conditionalFormatting>
  <conditionalFormatting sqref="D2:D1048576">
    <cfRule type="duplicateValues" dxfId="4" priority="5"/>
  </conditionalFormatting>
  <conditionalFormatting sqref="E3:E8">
    <cfRule type="duplicateValues" dxfId="3" priority="4"/>
  </conditionalFormatting>
  <conditionalFormatting sqref="E3:E8">
    <cfRule type="duplicateValues" dxfId="2" priority="3"/>
  </conditionalFormatting>
  <conditionalFormatting sqref="G2">
    <cfRule type="duplicateValues" dxfId="1" priority="2"/>
  </conditionalFormatting>
  <conditionalFormatting sqref="G2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Dashboard</vt:lpstr>
      <vt:lpstr>overall feeder</vt:lpstr>
      <vt:lpstr>Feeder Finger</vt:lpstr>
      <vt:lpstr>KT8</vt:lpstr>
      <vt:lpstr>KT12</vt:lpstr>
      <vt:lpstr>KT16</vt:lpstr>
      <vt:lpstr>KT24</vt:lpstr>
      <vt:lpstr>KT32</vt:lpstr>
      <vt:lpstr>KT44</vt:lpstr>
      <vt:lpstr>KT56</vt:lpstr>
      <vt:lpstr>KT88</vt:lpstr>
      <vt:lpstr>KTXAA</vt:lpstr>
      <vt:lpstr>KDE XP</vt:lpstr>
      <vt:lpstr>FL</vt:lpstr>
      <vt:lpstr>Changer</vt:lpstr>
      <vt:lpstr>SMT 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2024-10-30T05:18:21Z</dcterms:modified>
</cp:coreProperties>
</file>